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erformance RL\2026\"/>
    </mc:Choice>
  </mc:AlternateContent>
  <xr:revisionPtr revIDLastSave="0" documentId="13_ncr:1_{65B6072A-0D20-4CBE-A722-AB2AAAA3759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Jadwal 2026" sheetId="1" r:id="rId1"/>
  </sheets>
  <calcPr calcId="191029"/>
</workbook>
</file>

<file path=xl/calcChain.xml><?xml version="1.0" encoding="utf-8"?>
<calcChain xmlns="http://schemas.openxmlformats.org/spreadsheetml/2006/main">
  <c r="A60" i="1" l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216" i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6" i="1" l="1"/>
  <c r="A7" i="1" s="1"/>
  <c r="A163" i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42" i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29" i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02" i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28" i="1"/>
  <c r="A229" i="1" s="1"/>
</calcChain>
</file>

<file path=xl/sharedStrings.xml><?xml version="1.0" encoding="utf-8"?>
<sst xmlns="http://schemas.openxmlformats.org/spreadsheetml/2006/main" count="1172" uniqueCount="290">
  <si>
    <t>16-17</t>
  </si>
  <si>
    <t>15-17</t>
  </si>
  <si>
    <t>23-24</t>
  </si>
  <si>
    <t>20-21</t>
  </si>
  <si>
    <t>13-14</t>
  </si>
  <si>
    <t>17-18</t>
  </si>
  <si>
    <t>14-15</t>
  </si>
  <si>
    <t>22-23</t>
  </si>
  <si>
    <t>21-22</t>
  </si>
  <si>
    <t>15-16</t>
  </si>
  <si>
    <t>19-20</t>
  </si>
  <si>
    <t>Beautiful Life in Retirement</t>
  </si>
  <si>
    <t>Teknik Penagihan sesuai dengan PJOK 11 (3/2020)</t>
  </si>
  <si>
    <t>Modern Warehouse Management in Digital Era</t>
  </si>
  <si>
    <t>Business Leadership through Excellence Execution</t>
  </si>
  <si>
    <t>10-11</t>
  </si>
  <si>
    <t>Improving Sales Team Performance, Energy &amp; Motivation</t>
  </si>
  <si>
    <t>Marketing &amp; Sales Planning : Strategic Allignment for Effective Result</t>
  </si>
  <si>
    <t>Marketing Research For Business Using SPSS (Workshop with Business Case Studies)</t>
  </si>
  <si>
    <t>Marketing Support &amp; Sales Admin Development Program</t>
  </si>
  <si>
    <t>Presentation &amp; Selling Skills Using Story-Telling</t>
  </si>
  <si>
    <t>Professional Selling Skills</t>
  </si>
  <si>
    <t>Professional Telesales &amp; Telemarketing</t>
  </si>
  <si>
    <t>Sales Oriented - Customer Service</t>
  </si>
  <si>
    <t>11-12</t>
  </si>
  <si>
    <t>Debt Collection Strategy &amp; Tactics for Fintech Business</t>
  </si>
  <si>
    <t>12-13</t>
  </si>
  <si>
    <t>14</t>
  </si>
  <si>
    <t>18-19</t>
  </si>
  <si>
    <t>Analytical Skills For Leaders</t>
  </si>
  <si>
    <t>Communication Skills in Project Management</t>
  </si>
  <si>
    <t>Effective Communication &amp; Interpersonal Skills</t>
  </si>
  <si>
    <t>Effective Supervision &amp; Coaching for Higher Productivity</t>
  </si>
  <si>
    <t>Effective Time &amp; Activity Management</t>
  </si>
  <si>
    <t>Facilitative &amp; Emphatic Leadership</t>
  </si>
  <si>
    <t>Five Core Leadership Skills Translated to POCE (For Managers &amp; Senior SPV)</t>
  </si>
  <si>
    <t>Innovative, Sistematic &amp; Lateral Thinking Skills for Leader</t>
  </si>
  <si>
    <t>Keterampilan Komunikasi dalam Rapat &amp; Diskusi</t>
  </si>
  <si>
    <t>Komunikasi Bisnis Bagi Para Millenia</t>
  </si>
  <si>
    <t>Manajemen Emosi, Tempramen &amp; Kontrol Diri untuk Service Excellent</t>
  </si>
  <si>
    <t>Mengubah Bawahan Bermasalah dan Berkonflik menjadi Produktif dan Supportif</t>
  </si>
  <si>
    <t>Shopfloor Leadership &amp; Management : Leading By Gemba Kaizen</t>
  </si>
  <si>
    <t>Smart Way To Improve Your Negotiation Skills for Leaders</t>
  </si>
  <si>
    <t>Creative Problem Solving &amp; Decision Making</t>
  </si>
  <si>
    <t>7-8</t>
  </si>
  <si>
    <t>12</t>
  </si>
  <si>
    <t>17</t>
  </si>
  <si>
    <t>15</t>
  </si>
  <si>
    <t>13</t>
  </si>
  <si>
    <t>11</t>
  </si>
  <si>
    <t>16</t>
  </si>
  <si>
    <t>Teknik Penjualan Online yang Efektif</t>
  </si>
  <si>
    <t>Sales &amp; Marketing  Series</t>
  </si>
  <si>
    <t>Online</t>
  </si>
  <si>
    <t>Design Thinking: Creating Innovative Product, Excellent Services and Powerful Selling</t>
  </si>
  <si>
    <t>Digital Marketing Untuk Bisnis B2B</t>
  </si>
  <si>
    <t>Optimalisasi Social Media Branding Menggunakan Storytelling</t>
  </si>
  <si>
    <t>Sales &amp; Marketing Management</t>
  </si>
  <si>
    <t>Advanced Digital Marketing &amp; Foundation for Growth Hacking</t>
  </si>
  <si>
    <t>Creative Promotion &amp; Campaign Management</t>
  </si>
  <si>
    <t>Developing &amp; Writing: Corporate Credit Proposal</t>
  </si>
  <si>
    <t>Enterprise Solution Selling</t>
  </si>
  <si>
    <t>Experiential Marketing Strategy &amp; Tactics</t>
  </si>
  <si>
    <t>How to Utilize People &amp; Technology to Win The Market</t>
  </si>
  <si>
    <t>Optimizing in Growing Your Business with E-commerce</t>
  </si>
  <si>
    <t>Pipe Line, New Prospect &amp; Lead Management</t>
  </si>
  <si>
    <t>Practical Marketing Strategy, Implementation for Banking &amp; Multifinance</t>
  </si>
  <si>
    <t>Professional Digital Marketing</t>
  </si>
  <si>
    <t>Sales Forecasting : A Small Step for Getting A Giant Sales Target Results</t>
  </si>
  <si>
    <t>Sales Performance Improvement For Extraordinary Result</t>
  </si>
  <si>
    <t>Selling With NLP</t>
  </si>
  <si>
    <t>Visual Merchandising for Effective Result</t>
  </si>
  <si>
    <t>Credit &amp; Collection Series</t>
  </si>
  <si>
    <t>Advance Credit Analyst for Corporate Commercial</t>
  </si>
  <si>
    <t>Analisa Kredit Berbasis Laporan Keuangan</t>
  </si>
  <si>
    <t>Analisa Kredit Transaksi Luar Negeri</t>
  </si>
  <si>
    <t>Antisipasi Pemalsuan Dokumen, Tanda Tangan, dan Mafia Fraud</t>
  </si>
  <si>
    <t>Appraisal Tingkat Lanjut Sesuai Standar Penilaian Indonesia (SPI)</t>
  </si>
  <si>
    <t>Audit Treasury Management for Banking</t>
  </si>
  <si>
    <t>Corporate Credit Analyst for Multi Finance</t>
  </si>
  <si>
    <t>How to Detect &amp; Prevent Application Fraud in Digital Era for Banking &amp; Fintech</t>
  </si>
  <si>
    <t>Hukum Perkreditan Tingkat Lanjut</t>
  </si>
  <si>
    <t>Manajemen Resiko APU &amp; PPT bagi Staff Perbankan, Multifinance, Sekuritas dan Asuransi</t>
  </si>
  <si>
    <t>Mortgage Credit Analysis Training</t>
  </si>
  <si>
    <t>Pembuatan Struktur Fasilitas Kredit dan Mitigasi Resikonya</t>
  </si>
  <si>
    <t>Restrukturisasi Kredit untuk Kartu Kredit &amp; Negosiasinya untuk Kartu Kredit, KTA &amp; Mikro</t>
  </si>
  <si>
    <t>Secondary Mortgage Facility</t>
  </si>
  <si>
    <t>Teknik Interview &amp; Investigasi Terselubung Bagi Internal Audit</t>
  </si>
  <si>
    <t>Teknik Penyelesaian Kredit &amp; Pemasaran AYDA yang Efektif</t>
  </si>
  <si>
    <t>Applied Debt Collection Strategy &amp; Tactics</t>
  </si>
  <si>
    <t>Collection Analytical Tools &amp; MIS</t>
  </si>
  <si>
    <t>Collection for Corporate &amp; Commercial Credit</t>
  </si>
  <si>
    <t>Collection Negotiation Intermediate Skills</t>
  </si>
  <si>
    <t>Collection Recovery Section Head Development Program</t>
  </si>
  <si>
    <t>Collection Target Fixing &amp; Motivation Charge Up</t>
  </si>
  <si>
    <t>Daily, Weekly &amp; Monthly Analytics for Collection Leaders</t>
  </si>
  <si>
    <t>Leaders as a Coach &amp; Team Developer in Collection</t>
  </si>
  <si>
    <t>Managing Corporate Collection</t>
  </si>
  <si>
    <t>Manajemen Emosi Diri, Temperamen &amp; Kontrol Customer dalam Penagihan</t>
  </si>
  <si>
    <t>Mengelola NPL dengan Early Warning System (EWS)</t>
  </si>
  <si>
    <t>Professional Debt Collection Skills</t>
  </si>
  <si>
    <t>Financial Credit Rating &amp; Scoring</t>
  </si>
  <si>
    <t>HC and Training Series</t>
  </si>
  <si>
    <t>Bagaimana Melakukan PHK Dengan Aman Tanpa Gejolak</t>
  </si>
  <si>
    <t>Build a Great and Strong Corporate Culture</t>
  </si>
  <si>
    <t>Business Acumen: Think, Sense &amp; Act like CEO</t>
  </si>
  <si>
    <t>Compensation &amp; Benefit Analysis Training</t>
  </si>
  <si>
    <t>Competency Based Human Resource Management</t>
  </si>
  <si>
    <t>Comprehensive Train The Trainers</t>
  </si>
  <si>
    <t>Digital Mindset &amp; capability Development Based on Industry 4.0</t>
  </si>
  <si>
    <t>Drill For Trainers : Mastering 10 Core Trainer's Tools</t>
  </si>
  <si>
    <t>Emotional Communication Skill &amp; Team Spirit For Luxury Experience</t>
  </si>
  <si>
    <t>How to Conduct Social Campaign (for the Benefit of HR and Corporate Reputation)</t>
  </si>
  <si>
    <t>How To Conduct TNA, Creating Training Material &amp; Measuring Training Effectivity *</t>
  </si>
  <si>
    <t>How To Make an Effective Fair Performance Appraisal &amp; Evaluation</t>
  </si>
  <si>
    <t>How to Recruit, Interview, Select &amp; Place the Right Employee *</t>
  </si>
  <si>
    <t>Human Capital Role &amp; Practice in Merger &amp; Acquisition</t>
  </si>
  <si>
    <t>Leadership &amp; Followership for Millenials (in VUCA area)</t>
  </si>
  <si>
    <t>Managing People and Managing Talent in Generation YZ *</t>
  </si>
  <si>
    <t>Menyusun Kurikulum Pelatihan Berbasis Kompetensi *</t>
  </si>
  <si>
    <t>On Boarding &amp; Knowledge Transfer</t>
  </si>
  <si>
    <t>People (HR) Analytics: For HR &amp; Non HR Professional</t>
  </si>
  <si>
    <t>Planning and Organizing for Stellar Performance</t>
  </si>
  <si>
    <t>Professional Capability Development Towards Industry 4.0</t>
  </si>
  <si>
    <t>Transformasi Budaya Organisasi dan Menciptakan Agen Perubahan</t>
  </si>
  <si>
    <t>Understanding Millenials - Managing for High Performance and Engagement</t>
  </si>
  <si>
    <t>Finance Series</t>
  </si>
  <si>
    <t>Actuarial - Calculation of The Risk Value</t>
  </si>
  <si>
    <t>Akutansi Keuangan Syariah</t>
  </si>
  <si>
    <t>Cash Flow &amp; Credit Management</t>
  </si>
  <si>
    <t>Cost Reduction Strategy</t>
  </si>
  <si>
    <t>Cost Tracking vs Scheduling Analysis Model in Project Management</t>
  </si>
  <si>
    <t>Create A Simple Integrating Payroll System for Salary Efficiently and Effectively</t>
  </si>
  <si>
    <t>Effective Transactional Banking for Back Office</t>
  </si>
  <si>
    <t>Finance For Non Finance Executive</t>
  </si>
  <si>
    <t>Industry Forecasting &amp; Bussiness Valuation Workshop: Start Up &amp; Conventional Business</t>
  </si>
  <si>
    <t>International Banking Facility</t>
  </si>
  <si>
    <t>Perencanaan, Audit &amp; Analisa Kebutuhan Keuangan Perusahaan</t>
  </si>
  <si>
    <t>Simple Methode of Corporate Tax Calculation PPN - PPH</t>
  </si>
  <si>
    <t>Tax Amnesty Bagi Karyawan &amp; Profesional</t>
  </si>
  <si>
    <t>Office &amp;  Administration Series</t>
  </si>
  <si>
    <t>Best Practice for Supply Chain Management</t>
  </si>
  <si>
    <t>Corporate Event Management</t>
  </si>
  <si>
    <t>Distribution Management</t>
  </si>
  <si>
    <t>Electronic Filing &amp; Document Management System</t>
  </si>
  <si>
    <t>Excel &amp; PowerPoint for Powerful Business Application</t>
  </si>
  <si>
    <t>Integrated Production Management</t>
  </si>
  <si>
    <t>Interactive Dashboard with Microsoft Excel</t>
  </si>
  <si>
    <t>Legal Drafting to Prevent and Anticipate Business Conflict &amp; Dispute</t>
  </si>
  <si>
    <t>Managing General Affairs Excellence</t>
  </si>
  <si>
    <t>Manajemen Filing &amp; Tata Kelola Kantor</t>
  </si>
  <si>
    <t>Manajemen Pembelian, PPIC, Pergudangan &amp; Negosiasi Pengadaan</t>
  </si>
  <si>
    <t>Microsoft Excel VBA (Macros) Complete Beginner</t>
  </si>
  <si>
    <t>Professional Tenant &amp; Property Management</t>
  </si>
  <si>
    <t>Purchasing Excellence Administration</t>
  </si>
  <si>
    <t>Secretary Development Program</t>
  </si>
  <si>
    <t>Warehouse Administration for Better Efficiency &amp; Productivity</t>
  </si>
  <si>
    <t>Leadership &amp; Managerial  Series</t>
  </si>
  <si>
    <t>Agile Leadership: What Leaders Have To Do in Enabling Agile Transformation</t>
  </si>
  <si>
    <t>Analisa Data dan Penampilannya bagi Presentasi Manajemen</t>
  </si>
  <si>
    <t>Etos Kerja Unggulan Di Era Business Improvement</t>
  </si>
  <si>
    <t>Infografis &amp; pembuatan materi presentasi bagi level manajemen</t>
  </si>
  <si>
    <t>Innovative Business Thinking &amp; Productive Creativity With IDEO &amp; XQ Principles</t>
  </si>
  <si>
    <t>Insight Fundamentals of Investor Relations: Industry - Vendor - Supplier</t>
  </si>
  <si>
    <t>Modern Leadership Skills: How Leaders Managing Team by Data in the Era of Analytics</t>
  </si>
  <si>
    <t>Modern Project Management: Combining Scrum &amp; Sprint</t>
  </si>
  <si>
    <t>Practical Business Presentation Skills</t>
  </si>
  <si>
    <t>Sytemic Design Thinking: To foster Creativity &amp; Increase Team Innovation For Leaders</t>
  </si>
  <si>
    <t>Soft Skills For Credit Analyst &amp; Credit Surveyor</t>
  </si>
  <si>
    <t>Area &amp; Territory Management : Territorial, Time &amp; Activity Management for Sales Manager &amp; Supervisor</t>
  </si>
  <si>
    <t>Graphonomy &amp; Graphology: Pencegahan Pemalsuan Tanda Tangan &amp; Penipuan Dokumen di Era New Normal</t>
  </si>
  <si>
    <t>- Untuk topik pelatihan yang tidak terdaftar di jadwal ini bisa diselenggarakan atas kesepakatan bersama apabila ada permintaan dari klien
- Minimal pendaftaran 4(empat) peserta di Jakarta dan 5 (lima) peserta di Luar Kota (untuk training konvensional)</t>
  </si>
  <si>
    <t>Teknik Analisa Big Data untuk Memaksimalkan Marketing</t>
  </si>
  <si>
    <t>18</t>
  </si>
  <si>
    <t>Offline</t>
  </si>
  <si>
    <t>Investasi</t>
  </si>
  <si>
    <t>Social Selling: Optimizing Engagement and Sentiment Creation for Business Interest and Revenue Optimization</t>
  </si>
  <si>
    <t>Leaders as a Coach &amp; Team Developer in Sales: Drill for Skills and Competency Assessment with Individual Reports</t>
  </si>
  <si>
    <t>Analisa Kredit Sindikasi: Pembuatan Struktur Fasilitas, Kredit, Pembagian Tugas Arranger, Manajemen, dan Aspek Hukumnya</t>
  </si>
  <si>
    <t>Sekuritisasi Asset: Pengembangan Produk, Analisa Resiko, Aspek Legal, Perpajakan dan Strukturisasinya</t>
  </si>
  <si>
    <t>Teknik Penagihan Melibatkan Aspek Hukum (Perdata, Pidana, Pailit, Litigasi, Kepolisian, Menghadapi Pengacara, Penyitaan &amp; Penarikan)</t>
  </si>
  <si>
    <t>Build Your Own Report-Summarizing Chatbot with GEN AI</t>
  </si>
  <si>
    <t>Comprehensive HC Management for Millenials - A Smart way to improve your understanding in managing HC Practies</t>
  </si>
  <si>
    <t>Audit Lingkungan dan Sosial</t>
  </si>
  <si>
    <t>Pemahaman Fundamental ESG: Mengintegrasikan Faktor Lingkungan, Sosial, dan Tata Kelola dalam Bisnis</t>
  </si>
  <si>
    <t>Daur Ulang dan Pengelolaan Sampah: Solusi Berkelanjutan untuk Industri dan Masyarakat</t>
  </si>
  <si>
    <t>Karbon Kredit dan Ekonomi Berkelanjutan: Membangun Nilai Tambah untuk Perusahaan</t>
  </si>
  <si>
    <t>Konservasi Sumber Daya Air sebagai Strategi Bisnis Berkelanjutan: Meningkatkan Efisiensi dan Nilai Tambah Perusahaan</t>
  </si>
  <si>
    <t>Transformasi Bisnis Melalui Energi Terbarukan: Strategi Keberlanjutan untuk Pertumbuhan dan Daya Saing</t>
  </si>
  <si>
    <t>Mengelola Risiko dan Peluang Bisnis di Tengah Krisis Perubahan Iklim: Strategi Adaptasi dan Keberlanjutan</t>
  </si>
  <si>
    <t>Mendorong Kesetaraan Gender di Tempat Kerja untuk Meningkatkan Inklusi dan Kinerja Bisnis</t>
  </si>
  <si>
    <t>Inovasi Bisnis melalui Kolaborasi dan Pemberdayaan Komunitas Lokal</t>
  </si>
  <si>
    <t>Meningkatkan Kesadaran Hak Asasi dan Keberlanjutan Sosial dalam Bisnis Modern</t>
  </si>
  <si>
    <t>Meningkatkan Tata Kelola Perusahaan melalui Transparansi dan Akuntabilitas yang Efektif</t>
  </si>
  <si>
    <t>ESG Framework: Merancang Kebijakan untuk Masa Depan Bisnis yang Berkelanjutan</t>
  </si>
  <si>
    <t>Creative Content Design: Membuat Konten Edukatif yang Menarik di Social Media dengan Menggunakan Tools AI</t>
  </si>
  <si>
    <t>Visualizing Data into Business Presentation</t>
  </si>
  <si>
    <t>Antisipasi &amp; Pencegahan Transaksi Pencucian Uang</t>
  </si>
  <si>
    <t>Aspek Legal Pembiayaan &amp; Penagihan Kartu Kredit</t>
  </si>
  <si>
    <t>4-5</t>
  </si>
  <si>
    <t>5-6</t>
  </si>
  <si>
    <t>6-7</t>
  </si>
  <si>
    <t>Mastering UI/UX Design: Figma Pro Workflows &amp; Advanced Techniques</t>
  </si>
  <si>
    <t>Create a 24/7 Customer Service Chatbot with GEN AI (LLM OpenAI) for Any Industry</t>
  </si>
  <si>
    <t>3-4</t>
  </si>
  <si>
    <t>Menguasai Framework Front End Modern: React, Next.js, &amp; Tailwind CSS</t>
  </si>
  <si>
    <t>Prompt Engineering Mastery: A Game-Changer for Sales, Entrepreneurs, and Professionals</t>
  </si>
  <si>
    <t>28-29</t>
  </si>
  <si>
    <t>25-26</t>
  </si>
  <si>
    <t>26-27</t>
  </si>
  <si>
    <t>24-25</t>
  </si>
  <si>
    <t>Flutter Expert: Building Enterprise-Grade Applications</t>
  </si>
  <si>
    <t>29-30</t>
  </si>
  <si>
    <t>1-2*</t>
  </si>
  <si>
    <t>30-1*</t>
  </si>
  <si>
    <t>9-10</t>
  </si>
  <si>
    <t>14-16</t>
  </si>
  <si>
    <t>8-9</t>
  </si>
  <si>
    <t>10</t>
  </si>
  <si>
    <t>Tabel Public Training M-Knows Consulting 2026</t>
  </si>
  <si>
    <t>Mengelola Team Collection bagi Manager,Supervisor &amp; Team Leader: Collector Skills Transformation &amp; Team Motivation Charge Up</t>
  </si>
  <si>
    <t>Teknik Penjualan Aset Kredit Bermasalah</t>
  </si>
  <si>
    <t>HR consulting skills for HR Professional: Core skills to ensure excellent strategies to implementation</t>
  </si>
  <si>
    <t>Document Management 4.0 (Advance E-Filing preparing for BlockChain, IOT &amp; Artificial Intelligence Era) comply to UU ITE</t>
  </si>
  <si>
    <t>Powerful Database Analysis &amp; Dashbord Reporting with Excel</t>
  </si>
  <si>
    <t>Purchasing &amp; Procurement era Digital Industry 4.0 &amp; New Normal</t>
  </si>
  <si>
    <t>Creative &amp; Agile Tools of Management Problem Solving &amp; Decision Making in Digital Era</t>
  </si>
  <si>
    <t>Creative Leadership &amp; Management for Better Result</t>
  </si>
  <si>
    <t>Effective Negotiation Skills in New Normal Era</t>
  </si>
  <si>
    <t>Life Coach: Achieving Work-Life Balance</t>
  </si>
  <si>
    <t>Pelatihan &amp; Sertifikasi Public Speaking</t>
  </si>
  <si>
    <t>Pelatihan &amp; Sertifikasi Pelayanan Prima</t>
  </si>
  <si>
    <t>Pelatihan &amp; Sertifikasi Public Relation Officer</t>
  </si>
  <si>
    <t>Pelatihan &amp; Sertifikasi Digital Marketing</t>
  </si>
  <si>
    <t>Pelatihan &amp; Sertifikasi Content Creator</t>
  </si>
  <si>
    <t>Pelatihan &amp; Sertifikasi Operator Komputer Madya (Ms Office Pendukung Perkantoran)</t>
  </si>
  <si>
    <t>Pelatihan &amp; Sertifikasi Training of Trainer Level 4</t>
  </si>
  <si>
    <t>Pelatihan &amp; Sertifikasi Training of Trainer Level 3</t>
  </si>
  <si>
    <t>Pelatihan &amp; Sertifikasi Supply Chain Management</t>
  </si>
  <si>
    <t>18-20</t>
  </si>
  <si>
    <t>6-8</t>
  </si>
  <si>
    <t>12-14</t>
  </si>
  <si>
    <t>Pelatihan &amp; Sertifikasi Warehouse Supervisor</t>
  </si>
  <si>
    <t>Pelatihan &amp; Sertifikasi Freight Forwarder</t>
  </si>
  <si>
    <t>Pelatihan &amp; Sertifikasi Warehouse Operator</t>
  </si>
  <si>
    <t>Pelatihan &amp; Sertifikasi Logistics Administration Officer</t>
  </si>
  <si>
    <t>Pelatihan &amp; Sertifikasi Procurement Staff</t>
  </si>
  <si>
    <t>Pelatihan &amp; Sertifikasi Procurement Supervisor</t>
  </si>
  <si>
    <t>Pelatihan &amp; Sertifikasi Procurement Manager</t>
  </si>
  <si>
    <t>Pelatihan &amp; Sertifikasi Human Resource Management - Staff SDM</t>
  </si>
  <si>
    <t>Pelatihan &amp; Sertifikasi Human Resource Management - Supervisor SDM</t>
  </si>
  <si>
    <t>Pelatihan &amp; Sertifikasi Human Resource Management - Manager SDM</t>
  </si>
  <si>
    <t>Seritikasi BNSP Series</t>
  </si>
  <si>
    <t>Kesehatan dan Keselamatan Kerja dalam konteks ESG</t>
  </si>
  <si>
    <t>Pendidikan sebagai Katalisator Bisnis Keberlanjutan dalam Kebijakan ESG</t>
  </si>
  <si>
    <t>Meningkatkan Keberlanjutan Bisnis melalui Etika dan Transparansi</t>
  </si>
  <si>
    <t>Environmental, Social, and Governance Series</t>
  </si>
  <si>
    <t>AI Sales Tools: Meningkatkan Penjualan dan Profit Berlipat Ganda menggunakan 11 Tools AI</t>
  </si>
  <si>
    <t>Teknologi Virtual Reality Untuk Transformasi Bisnis, Pengembangan Karyawan dan Peningkatan Profit</t>
  </si>
  <si>
    <t>Pembuatan AI Credit Scoring untuk Kredit Produktif, Usaha Kecil, Mikro dan Ultra Mikro (Bagi BPD, BPR, Multifinance, Fintech dan Koperasi Simpan Pinjam)</t>
  </si>
  <si>
    <t>Transformasi Kinerja Tim Penagihan Menggunakan Artificial Intelligence 20 Tools</t>
  </si>
  <si>
    <t>Transformasi dan Digitalisasi Bisnis Memanfaatkan AI, IoT &amp; Blockchain Bagi Pimpinan Perusahaan</t>
  </si>
  <si>
    <t>Komunikasi dan Negosiasi Tingkat Lanjut bagi Sales, Marketing &amp; Purchasing</t>
  </si>
  <si>
    <t>Hybrid Coaching &amp; Mentoring Skills in Digital Era</t>
  </si>
  <si>
    <t>Cyber Security: Policy Updates, Regulation Compliance, Future Requirement &amp; Internal‑Team Preparation</t>
  </si>
  <si>
    <t>PDP (Perlindungan Data Pribadi) Dan Data Science</t>
  </si>
  <si>
    <t>Digital Marketing &amp; E Commerce &amp; Social Media Selling</t>
  </si>
  <si>
    <t>New Topics 2026</t>
  </si>
  <si>
    <t>Cyber Security for Digital Banking &amp; Fiintech in Indonesia: Pendalaman Ancaman Siber Dan Strategi Pertahanan Bank Digital &amp; Konvensional Dengan AI Security Stack</t>
  </si>
  <si>
    <t>Strategic Digital Learning &amp; Development using AI</t>
  </si>
  <si>
    <t>AI-Powered LMS Optimization &amp; People Analytics</t>
  </si>
  <si>
    <t>Data Driven Decision Making</t>
  </si>
  <si>
    <t>Restrukturisasi Kredit for SME Lending</t>
  </si>
  <si>
    <r>
      <rPr>
        <b/>
        <sz val="10"/>
        <color rgb="FFFFFFFF"/>
        <rFont val="Calibri"/>
        <family val="2"/>
        <scheme val="minor"/>
      </rPr>
      <t>No</t>
    </r>
  </si>
  <si>
    <r>
      <rPr>
        <b/>
        <sz val="10"/>
        <color rgb="FFFFFFFF"/>
        <rFont val="Calibri"/>
        <family val="2"/>
        <scheme val="minor"/>
      </rPr>
      <t>Judul</t>
    </r>
  </si>
  <si>
    <r>
      <rPr>
        <b/>
        <sz val="10"/>
        <color rgb="FFFFFFFF"/>
        <rFont val="Calibri"/>
        <family val="2"/>
        <scheme val="minor"/>
      </rPr>
      <t>Sesi</t>
    </r>
  </si>
  <si>
    <r>
      <rPr>
        <b/>
        <sz val="10"/>
        <color rgb="FFFFFFFF"/>
        <rFont val="Calibri"/>
        <family val="2"/>
        <scheme val="minor"/>
      </rPr>
      <t>Bulan</t>
    </r>
  </si>
  <si>
    <r>
      <rPr>
        <b/>
        <sz val="10"/>
        <color rgb="FFFFFFFF"/>
        <rFont val="Calibri"/>
        <family val="2"/>
        <scheme val="minor"/>
      </rPr>
      <t>Jan</t>
    </r>
  </si>
  <si>
    <r>
      <rPr>
        <b/>
        <sz val="10"/>
        <color rgb="FFFFFFFF"/>
        <rFont val="Calibri"/>
        <family val="2"/>
        <scheme val="minor"/>
      </rPr>
      <t>Feb</t>
    </r>
  </si>
  <si>
    <r>
      <rPr>
        <b/>
        <sz val="10"/>
        <color rgb="FFFFFFFF"/>
        <rFont val="Calibri"/>
        <family val="2"/>
        <scheme val="minor"/>
      </rPr>
      <t>Mar</t>
    </r>
  </si>
  <si>
    <r>
      <rPr>
        <b/>
        <sz val="10"/>
        <color rgb="FFFFFFFF"/>
        <rFont val="Calibri"/>
        <family val="2"/>
        <scheme val="minor"/>
      </rPr>
      <t>Apr</t>
    </r>
  </si>
  <si>
    <r>
      <rPr>
        <b/>
        <sz val="10"/>
        <color rgb="FFFFFFFF"/>
        <rFont val="Calibri"/>
        <family val="2"/>
        <scheme val="minor"/>
      </rPr>
      <t>Mei</t>
    </r>
  </si>
  <si>
    <r>
      <rPr>
        <b/>
        <sz val="10"/>
        <color rgb="FFFFFFFF"/>
        <rFont val="Calibri"/>
        <family val="2"/>
        <scheme val="minor"/>
      </rPr>
      <t>Jun</t>
    </r>
  </si>
  <si>
    <r>
      <rPr>
        <b/>
        <sz val="10"/>
        <color rgb="FFFFFFFF"/>
        <rFont val="Calibri"/>
        <family val="2"/>
        <scheme val="minor"/>
      </rPr>
      <t>Jul</t>
    </r>
  </si>
  <si>
    <r>
      <rPr>
        <b/>
        <sz val="10"/>
        <color rgb="FFFFFFFF"/>
        <rFont val="Calibri"/>
        <family val="2"/>
        <scheme val="minor"/>
      </rPr>
      <t>Aug</t>
    </r>
  </si>
  <si>
    <r>
      <rPr>
        <b/>
        <sz val="10"/>
        <color rgb="FFFFFFFF"/>
        <rFont val="Calibri"/>
        <family val="2"/>
        <scheme val="minor"/>
      </rPr>
      <t>Sep</t>
    </r>
  </si>
  <si>
    <r>
      <rPr>
        <b/>
        <sz val="10"/>
        <color rgb="FFFFFFFF"/>
        <rFont val="Calibri"/>
        <family val="2"/>
        <scheme val="minor"/>
      </rPr>
      <t>Okt</t>
    </r>
  </si>
  <si>
    <r>
      <rPr>
        <b/>
        <sz val="10"/>
        <color rgb="FFFFFFFF"/>
        <rFont val="Calibri"/>
        <family val="2"/>
        <scheme val="minor"/>
      </rPr>
      <t>Nov</t>
    </r>
  </si>
  <si>
    <r>
      <rPr>
        <b/>
        <sz val="10"/>
        <color rgb="FFFFFFFF"/>
        <rFont val="Calibri"/>
        <family val="2"/>
        <scheme val="minor"/>
      </rPr>
      <t>Des</t>
    </r>
  </si>
  <si>
    <t>UNTUK INFORMASI DAN PENDAFTARAN SILAHKAN HUBUNGI M-KNOWS CONSULTING TELP. 021-726 5174.
HP / WA. 0812 1046 8281 - Roland
Email : rolando@m-knowsconsulting.com
visit our website : www.m-knowsconsulting.com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</si>
</sst>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\7\-\8"/>
  </numFmts>
  <fonts count="1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b/>
      <sz val="18"/>
      <name val="Calibri"/>
      <family val="2"/>
      <scheme val="minor"/>
    </font>
    <font>
      <b/>
      <sz val="9"/>
      <name val="Calibri"/>
      <family val="2"/>
      <scheme val="minor"/>
    </font>
    <font>
      <b/>
      <sz val="7.5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9"/>
      <color rgb="FFFF0000"/>
      <name val="Calibri"/>
      <family val="2"/>
      <scheme val="minor"/>
    </font>
    <font>
      <sz val="9"/>
      <color rgb="FF40404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AF50"/>
      </patternFill>
    </fill>
    <fill>
      <patternFill patternType="solid">
        <fgColor rgb="FFFFFF99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6" fillId="0" borderId="0" applyFont="0" applyFill="0" applyBorder="0" applyAlignment="0" applyProtection="0"/>
  </cellStyleXfs>
  <cellXfs count="5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1" fontId="1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vertical="center" wrapText="1"/>
    </xf>
    <xf numFmtId="1" fontId="10" fillId="0" borderId="8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49" fontId="12" fillId="0" borderId="1" xfId="0" applyNumberFormat="1" applyFont="1" applyBorder="1" applyAlignment="1">
      <alignment horizontal="center" vertical="center" wrapText="1"/>
    </xf>
    <xf numFmtId="3" fontId="13" fillId="0" borderId="1" xfId="1" applyNumberFormat="1" applyFont="1" applyBorder="1" applyAlignment="1">
      <alignment horizontal="center" vertical="center"/>
    </xf>
    <xf numFmtId="3" fontId="13" fillId="0" borderId="5" xfId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3" fontId="13" fillId="0" borderId="5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 shrinkToFit="1"/>
    </xf>
    <xf numFmtId="164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shrinkToFit="1"/>
    </xf>
    <xf numFmtId="3" fontId="13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shrinkToFit="1"/>
    </xf>
    <xf numFmtId="3" fontId="13" fillId="0" borderId="5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center" wrapText="1"/>
    </xf>
    <xf numFmtId="3" fontId="13" fillId="0" borderId="1" xfId="0" applyNumberFormat="1" applyFont="1" applyBorder="1" applyAlignment="1">
      <alignment horizontal="center" vertical="center" shrinkToFit="1"/>
    </xf>
    <xf numFmtId="0" fontId="4" fillId="5" borderId="8" xfId="0" applyFont="1" applyFill="1" applyBorder="1" applyAlignment="1">
      <alignment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8" fillId="0" borderId="5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205896</xdr:colOff>
      <xdr:row>0</xdr:row>
      <xdr:rowOff>119409</xdr:rowOff>
    </xdr:from>
    <xdr:ext cx="998805" cy="23451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271" y="119409"/>
          <a:ext cx="998805" cy="2345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rimknowsconsul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1"/>
  <sheetViews>
    <sheetView tabSelected="1" view="pageBreakPreview" zoomScale="60" zoomScaleNormal="80" workbookViewId="0">
      <selection sqref="A1:Q1"/>
    </sheetView>
  </sheetViews>
  <sheetFormatPr defaultColWidth="8.83203125" defaultRowHeight="12.75" x14ac:dyDescent="0.2"/>
  <cols>
    <col min="1" max="1" width="5.5" style="1" bestFit="1" customWidth="1"/>
    <col min="2" max="2" width="115.5" style="1" customWidth="1"/>
    <col min="3" max="3" width="7" style="3" bestFit="1" customWidth="1"/>
    <col min="4" max="5" width="7.83203125" style="2" customWidth="1"/>
    <col min="6" max="6" width="7.33203125" style="3" customWidth="1"/>
    <col min="7" max="15" width="7.83203125" style="3" customWidth="1"/>
    <col min="16" max="17" width="11.5" style="3" bestFit="1" customWidth="1"/>
    <col min="18" max="18" width="10.1640625" style="1" bestFit="1" customWidth="1"/>
    <col min="19" max="16384" width="8.83203125" style="1"/>
  </cols>
  <sheetData>
    <row r="1" spans="1:18" ht="38.25" customHeight="1" x14ac:dyDescent="0.2">
      <c r="A1" s="45" t="s">
        <v>219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7"/>
    </row>
    <row r="2" spans="1:18" ht="18.600000000000001" customHeight="1" x14ac:dyDescent="0.2">
      <c r="A2" s="48" t="s">
        <v>273</v>
      </c>
      <c r="B2" s="49" t="s">
        <v>274</v>
      </c>
      <c r="C2" s="50" t="s">
        <v>275</v>
      </c>
      <c r="D2" s="49" t="s">
        <v>276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1" t="s">
        <v>175</v>
      </c>
      <c r="Q2" s="52"/>
    </row>
    <row r="3" spans="1:18" ht="13.5" customHeight="1" x14ac:dyDescent="0.2">
      <c r="A3" s="48"/>
      <c r="B3" s="49"/>
      <c r="C3" s="50"/>
      <c r="D3" s="9" t="s">
        <v>277</v>
      </c>
      <c r="E3" s="9" t="s">
        <v>278</v>
      </c>
      <c r="F3" s="7" t="s">
        <v>279</v>
      </c>
      <c r="G3" s="7" t="s">
        <v>280</v>
      </c>
      <c r="H3" s="7" t="s">
        <v>281</v>
      </c>
      <c r="I3" s="8" t="s">
        <v>282</v>
      </c>
      <c r="J3" s="8" t="s">
        <v>283</v>
      </c>
      <c r="K3" s="8" t="s">
        <v>284</v>
      </c>
      <c r="L3" s="8" t="s">
        <v>285</v>
      </c>
      <c r="M3" s="8" t="s">
        <v>286</v>
      </c>
      <c r="N3" s="8" t="s">
        <v>287</v>
      </c>
      <c r="O3" s="8" t="s">
        <v>288</v>
      </c>
      <c r="P3" s="10" t="s">
        <v>53</v>
      </c>
      <c r="Q3" s="11" t="s">
        <v>174</v>
      </c>
    </row>
    <row r="4" spans="1:18" ht="12" customHeight="1" x14ac:dyDescent="0.2">
      <c r="A4" s="12"/>
      <c r="B4" s="53" t="s">
        <v>267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8"/>
    </row>
    <row r="5" spans="1:18" s="5" customFormat="1" x14ac:dyDescent="0.2">
      <c r="A5" s="13">
        <v>1</v>
      </c>
      <c r="B5" s="14" t="s">
        <v>269</v>
      </c>
      <c r="C5" s="15">
        <v>8</v>
      </c>
      <c r="D5" s="16" t="s">
        <v>8</v>
      </c>
      <c r="E5" s="16" t="s">
        <v>26</v>
      </c>
      <c r="F5" s="16"/>
      <c r="G5" s="16" t="s">
        <v>0</v>
      </c>
      <c r="H5" s="16"/>
      <c r="I5" s="16"/>
      <c r="J5" s="16" t="s">
        <v>24</v>
      </c>
      <c r="K5" s="16"/>
      <c r="L5" s="16"/>
      <c r="M5" s="16" t="s">
        <v>204</v>
      </c>
      <c r="N5" s="16"/>
      <c r="O5" s="16"/>
      <c r="P5" s="17">
        <v>3500000</v>
      </c>
      <c r="Q5" s="18">
        <v>5800000</v>
      </c>
      <c r="R5" s="4"/>
    </row>
    <row r="6" spans="1:18" x14ac:dyDescent="0.2">
      <c r="A6" s="13">
        <f>A5+1</f>
        <v>2</v>
      </c>
      <c r="B6" s="19" t="s">
        <v>270</v>
      </c>
      <c r="C6" s="20">
        <v>8</v>
      </c>
      <c r="D6" s="16" t="s">
        <v>212</v>
      </c>
      <c r="E6" s="16" t="s">
        <v>2</v>
      </c>
      <c r="F6" s="16"/>
      <c r="G6" s="16"/>
      <c r="H6" s="16" t="s">
        <v>207</v>
      </c>
      <c r="I6" s="16"/>
      <c r="J6" s="16" t="s">
        <v>213</v>
      </c>
      <c r="K6" s="16"/>
      <c r="L6" s="16"/>
      <c r="M6" s="16" t="s">
        <v>214</v>
      </c>
      <c r="N6" s="16"/>
      <c r="O6" s="16" t="s">
        <v>9</v>
      </c>
      <c r="P6" s="17">
        <v>3500000</v>
      </c>
      <c r="Q6" s="21">
        <v>5800000</v>
      </c>
    </row>
    <row r="7" spans="1:18" s="5" customFormat="1" x14ac:dyDescent="0.2">
      <c r="A7" s="13">
        <f t="shared" ref="A7" si="0">A6+1</f>
        <v>3</v>
      </c>
      <c r="B7" s="14" t="s">
        <v>257</v>
      </c>
      <c r="C7" s="15">
        <v>8</v>
      </c>
      <c r="D7" s="16" t="s">
        <v>6</v>
      </c>
      <c r="E7" s="16" t="s">
        <v>199</v>
      </c>
      <c r="F7" s="16"/>
      <c r="G7" s="16" t="s">
        <v>44</v>
      </c>
      <c r="H7" s="16"/>
      <c r="I7" s="16" t="s">
        <v>201</v>
      </c>
      <c r="J7" s="16"/>
      <c r="K7" s="16"/>
      <c r="L7" s="16" t="s">
        <v>26</v>
      </c>
      <c r="M7" s="16"/>
      <c r="N7" s="16"/>
      <c r="O7" s="16" t="s">
        <v>200</v>
      </c>
      <c r="P7" s="17">
        <v>3500000</v>
      </c>
      <c r="Q7" s="18">
        <v>5800000</v>
      </c>
      <c r="R7" s="4"/>
    </row>
    <row r="8" spans="1:18" s="5" customFormat="1" x14ac:dyDescent="0.2">
      <c r="A8" s="13">
        <f t="shared" ref="A8:A24" si="1">A7+1</f>
        <v>4</v>
      </c>
      <c r="B8" s="14" t="s">
        <v>271</v>
      </c>
      <c r="C8" s="15">
        <v>4</v>
      </c>
      <c r="D8" s="16"/>
      <c r="E8" s="16" t="s">
        <v>199</v>
      </c>
      <c r="F8" s="16"/>
      <c r="G8" s="16" t="s">
        <v>44</v>
      </c>
      <c r="H8" s="16"/>
      <c r="I8" s="16" t="s">
        <v>201</v>
      </c>
      <c r="J8" s="16"/>
      <c r="K8" s="16"/>
      <c r="L8" s="16" t="s">
        <v>26</v>
      </c>
      <c r="M8" s="16"/>
      <c r="N8" s="16"/>
      <c r="O8" s="16" t="s">
        <v>200</v>
      </c>
      <c r="P8" s="17">
        <v>3500000</v>
      </c>
      <c r="Q8" s="18">
        <v>5800000</v>
      </c>
      <c r="R8" s="4"/>
    </row>
    <row r="9" spans="1:18" ht="24" x14ac:dyDescent="0.2">
      <c r="A9" s="13">
        <f t="shared" si="1"/>
        <v>5</v>
      </c>
      <c r="B9" s="19" t="s">
        <v>259</v>
      </c>
      <c r="C9" s="20">
        <v>8</v>
      </c>
      <c r="D9" s="16" t="s">
        <v>207</v>
      </c>
      <c r="E9" s="16" t="s">
        <v>10</v>
      </c>
      <c r="F9" s="16" t="s">
        <v>26</v>
      </c>
      <c r="G9" s="16"/>
      <c r="H9" s="16" t="s">
        <v>8</v>
      </c>
      <c r="I9" s="16"/>
      <c r="J9" s="16" t="s">
        <v>208</v>
      </c>
      <c r="K9" s="16"/>
      <c r="L9" s="16" t="s">
        <v>209</v>
      </c>
      <c r="M9" s="16"/>
      <c r="N9" s="16" t="s">
        <v>209</v>
      </c>
      <c r="O9" s="16"/>
      <c r="P9" s="17">
        <v>3500000</v>
      </c>
      <c r="Q9" s="21">
        <v>5800000</v>
      </c>
    </row>
    <row r="10" spans="1:18" x14ac:dyDescent="0.2">
      <c r="A10" s="13">
        <f t="shared" si="1"/>
        <v>6</v>
      </c>
      <c r="B10" s="19" t="s">
        <v>260</v>
      </c>
      <c r="C10" s="20">
        <v>8</v>
      </c>
      <c r="D10" s="16" t="s">
        <v>207</v>
      </c>
      <c r="E10" s="16" t="s">
        <v>10</v>
      </c>
      <c r="F10" s="16"/>
      <c r="G10" s="16" t="s">
        <v>2</v>
      </c>
      <c r="H10" s="16"/>
      <c r="I10" s="16" t="s">
        <v>10</v>
      </c>
      <c r="J10" s="16"/>
      <c r="K10" s="16" t="s">
        <v>7</v>
      </c>
      <c r="L10" s="16"/>
      <c r="M10" s="16" t="s">
        <v>210</v>
      </c>
      <c r="N10" s="16"/>
      <c r="O10" s="16" t="s">
        <v>26</v>
      </c>
      <c r="P10" s="17">
        <v>3500000</v>
      </c>
      <c r="Q10" s="21">
        <v>5800000</v>
      </c>
    </row>
    <row r="11" spans="1:18" x14ac:dyDescent="0.2">
      <c r="A11" s="13">
        <f t="shared" si="1"/>
        <v>7</v>
      </c>
      <c r="B11" s="19" t="s">
        <v>181</v>
      </c>
      <c r="C11" s="20">
        <v>8</v>
      </c>
      <c r="D11" s="16" t="s">
        <v>212</v>
      </c>
      <c r="E11" s="16" t="s">
        <v>2</v>
      </c>
      <c r="F11" s="16"/>
      <c r="G11" s="16"/>
      <c r="H11" s="16" t="s">
        <v>207</v>
      </c>
      <c r="I11" s="16"/>
      <c r="J11" s="16" t="s">
        <v>213</v>
      </c>
      <c r="K11" s="16"/>
      <c r="L11" s="16"/>
      <c r="M11" s="16" t="s">
        <v>214</v>
      </c>
      <c r="N11" s="16"/>
      <c r="O11" s="16" t="s">
        <v>9</v>
      </c>
      <c r="P11" s="17">
        <v>3500000</v>
      </c>
      <c r="Q11" s="21">
        <v>5800000</v>
      </c>
    </row>
    <row r="12" spans="1:18" x14ac:dyDescent="0.2">
      <c r="A12" s="13">
        <f t="shared" si="1"/>
        <v>8</v>
      </c>
      <c r="B12" s="19" t="s">
        <v>203</v>
      </c>
      <c r="C12" s="20">
        <v>8</v>
      </c>
      <c r="D12" s="16" t="s">
        <v>207</v>
      </c>
      <c r="E12" s="16" t="s">
        <v>10</v>
      </c>
      <c r="F12" s="16"/>
      <c r="G12" s="16" t="s">
        <v>2</v>
      </c>
      <c r="H12" s="16"/>
      <c r="I12" s="16" t="s">
        <v>10</v>
      </c>
      <c r="J12" s="16"/>
      <c r="K12" s="16" t="s">
        <v>7</v>
      </c>
      <c r="L12" s="16"/>
      <c r="M12" s="16" t="s">
        <v>210</v>
      </c>
      <c r="N12" s="16"/>
      <c r="O12" s="16" t="s">
        <v>26</v>
      </c>
      <c r="P12" s="17">
        <v>3500000</v>
      </c>
      <c r="Q12" s="21">
        <v>5800000</v>
      </c>
    </row>
    <row r="13" spans="1:18" s="5" customFormat="1" x14ac:dyDescent="0.2">
      <c r="A13" s="13">
        <f t="shared" si="1"/>
        <v>9</v>
      </c>
      <c r="B13" s="14" t="s">
        <v>206</v>
      </c>
      <c r="C13" s="15">
        <v>8</v>
      </c>
      <c r="D13" s="16" t="s">
        <v>6</v>
      </c>
      <c r="E13" s="16" t="s">
        <v>199</v>
      </c>
      <c r="F13" s="16"/>
      <c r="G13" s="16"/>
      <c r="H13" s="16" t="s">
        <v>44</v>
      </c>
      <c r="I13" s="16"/>
      <c r="J13" s="16"/>
      <c r="K13" s="16" t="s">
        <v>44</v>
      </c>
      <c r="L13" s="16"/>
      <c r="M13" s="16"/>
      <c r="N13" s="16" t="s">
        <v>200</v>
      </c>
      <c r="O13" s="16"/>
      <c r="P13" s="17">
        <v>3500000</v>
      </c>
      <c r="Q13" s="18">
        <v>5800000</v>
      </c>
      <c r="R13" s="4"/>
    </row>
    <row r="14" spans="1:18" s="5" customFormat="1" x14ac:dyDescent="0.2">
      <c r="A14" s="13">
        <f t="shared" si="1"/>
        <v>10</v>
      </c>
      <c r="B14" s="14" t="s">
        <v>263</v>
      </c>
      <c r="C14" s="15">
        <v>8</v>
      </c>
      <c r="D14" s="16" t="s">
        <v>8</v>
      </c>
      <c r="E14" s="16" t="s">
        <v>26</v>
      </c>
      <c r="F14" s="16"/>
      <c r="G14" s="16" t="s">
        <v>0</v>
      </c>
      <c r="H14" s="16"/>
      <c r="I14" s="16"/>
      <c r="J14" s="16" t="s">
        <v>24</v>
      </c>
      <c r="K14" s="16"/>
      <c r="L14" s="16"/>
      <c r="M14" s="16" t="s">
        <v>204</v>
      </c>
      <c r="N14" s="16"/>
      <c r="O14" s="16"/>
      <c r="P14" s="17">
        <v>3500000</v>
      </c>
      <c r="Q14" s="18">
        <v>5800000</v>
      </c>
      <c r="R14" s="4"/>
    </row>
    <row r="15" spans="1:18" s="5" customFormat="1" x14ac:dyDescent="0.2">
      <c r="A15" s="13">
        <f t="shared" si="1"/>
        <v>11</v>
      </c>
      <c r="B15" s="14" t="s">
        <v>258</v>
      </c>
      <c r="C15" s="15">
        <v>8</v>
      </c>
      <c r="D15" s="16" t="s">
        <v>9</v>
      </c>
      <c r="E15" s="16" t="s">
        <v>200</v>
      </c>
      <c r="F15" s="16"/>
      <c r="G15" s="16" t="s">
        <v>24</v>
      </c>
      <c r="H15" s="16"/>
      <c r="I15" s="16"/>
      <c r="J15" s="16" t="s">
        <v>199</v>
      </c>
      <c r="K15" s="16"/>
      <c r="L15" s="16" t="s">
        <v>9</v>
      </c>
      <c r="M15" s="16"/>
      <c r="N15" s="16" t="s">
        <v>15</v>
      </c>
      <c r="O15" s="16"/>
      <c r="P15" s="17">
        <v>3500000</v>
      </c>
      <c r="Q15" s="18">
        <v>5800000</v>
      </c>
      <c r="R15" s="4"/>
    </row>
    <row r="16" spans="1:18" s="5" customFormat="1" x14ac:dyDescent="0.2">
      <c r="A16" s="13">
        <f t="shared" si="1"/>
        <v>12</v>
      </c>
      <c r="B16" s="14" t="s">
        <v>261</v>
      </c>
      <c r="C16" s="15">
        <v>8</v>
      </c>
      <c r="D16" s="16" t="s">
        <v>9</v>
      </c>
      <c r="E16" s="16" t="s">
        <v>200</v>
      </c>
      <c r="F16" s="16"/>
      <c r="G16" s="16" t="s">
        <v>24</v>
      </c>
      <c r="H16" s="16"/>
      <c r="I16" s="16"/>
      <c r="J16" s="16" t="s">
        <v>199</v>
      </c>
      <c r="K16" s="16"/>
      <c r="L16" s="16" t="s">
        <v>9</v>
      </c>
      <c r="M16" s="16"/>
      <c r="N16" s="16" t="s">
        <v>15</v>
      </c>
      <c r="O16" s="16"/>
      <c r="P16" s="17">
        <v>3500000</v>
      </c>
      <c r="Q16" s="18">
        <v>5800000</v>
      </c>
      <c r="R16" s="4"/>
    </row>
    <row r="17" spans="1:18" ht="24" x14ac:dyDescent="0.2">
      <c r="A17" s="13">
        <f t="shared" si="1"/>
        <v>13</v>
      </c>
      <c r="B17" s="19" t="s">
        <v>268</v>
      </c>
      <c r="C17" s="20">
        <v>8</v>
      </c>
      <c r="D17" s="16" t="s">
        <v>207</v>
      </c>
      <c r="E17" s="16" t="s">
        <v>10</v>
      </c>
      <c r="F17" s="16" t="s">
        <v>26</v>
      </c>
      <c r="G17" s="16"/>
      <c r="H17" s="16" t="s">
        <v>8</v>
      </c>
      <c r="I17" s="16"/>
      <c r="J17" s="16" t="s">
        <v>208</v>
      </c>
      <c r="K17" s="16"/>
      <c r="L17" s="16" t="s">
        <v>209</v>
      </c>
      <c r="M17" s="16"/>
      <c r="N17" s="16" t="s">
        <v>209</v>
      </c>
      <c r="O17" s="16"/>
      <c r="P17" s="17">
        <v>3500000</v>
      </c>
      <c r="Q17" s="21">
        <v>5800000</v>
      </c>
    </row>
    <row r="18" spans="1:18" x14ac:dyDescent="0.2">
      <c r="A18" s="13">
        <f t="shared" si="1"/>
        <v>14</v>
      </c>
      <c r="B18" s="19" t="s">
        <v>264</v>
      </c>
      <c r="C18" s="20">
        <v>8</v>
      </c>
      <c r="D18" s="16" t="s">
        <v>207</v>
      </c>
      <c r="E18" s="16" t="s">
        <v>10</v>
      </c>
      <c r="F18" s="16"/>
      <c r="G18" s="16" t="s">
        <v>2</v>
      </c>
      <c r="H18" s="16"/>
      <c r="I18" s="16" t="s">
        <v>10</v>
      </c>
      <c r="J18" s="16"/>
      <c r="K18" s="16" t="s">
        <v>7</v>
      </c>
      <c r="L18" s="16"/>
      <c r="M18" s="16" t="s">
        <v>210</v>
      </c>
      <c r="N18" s="16"/>
      <c r="O18" s="16" t="s">
        <v>26</v>
      </c>
      <c r="P18" s="17">
        <v>3500000</v>
      </c>
      <c r="Q18" s="21">
        <v>5800000</v>
      </c>
    </row>
    <row r="19" spans="1:18" s="5" customFormat="1" x14ac:dyDescent="0.2">
      <c r="A19" s="13">
        <f t="shared" si="1"/>
        <v>15</v>
      </c>
      <c r="B19" s="14" t="s">
        <v>265</v>
      </c>
      <c r="C19" s="15">
        <v>8</v>
      </c>
      <c r="D19" s="16" t="s">
        <v>6</v>
      </c>
      <c r="E19" s="16" t="s">
        <v>199</v>
      </c>
      <c r="F19" s="16"/>
      <c r="G19" s="16" t="s">
        <v>44</v>
      </c>
      <c r="H19" s="16"/>
      <c r="I19" s="16" t="s">
        <v>201</v>
      </c>
      <c r="J19" s="16"/>
      <c r="K19" s="16"/>
      <c r="L19" s="16" t="s">
        <v>26</v>
      </c>
      <c r="M19" s="16"/>
      <c r="N19" s="16"/>
      <c r="O19" s="16" t="s">
        <v>200</v>
      </c>
      <c r="P19" s="17">
        <v>3500000</v>
      </c>
      <c r="Q19" s="18">
        <v>5800000</v>
      </c>
      <c r="R19" s="4"/>
    </row>
    <row r="20" spans="1:18" x14ac:dyDescent="0.2">
      <c r="A20" s="13">
        <f t="shared" si="1"/>
        <v>16</v>
      </c>
      <c r="B20" s="19" t="s">
        <v>211</v>
      </c>
      <c r="C20" s="20">
        <v>8</v>
      </c>
      <c r="D20" s="16" t="s">
        <v>7</v>
      </c>
      <c r="E20" s="16" t="s">
        <v>0</v>
      </c>
      <c r="F20" s="16"/>
      <c r="G20" s="22"/>
      <c r="H20" s="16" t="s">
        <v>6</v>
      </c>
      <c r="I20" s="16"/>
      <c r="J20" s="16" t="s">
        <v>28</v>
      </c>
      <c r="K20" s="16"/>
      <c r="L20" s="16" t="s">
        <v>8</v>
      </c>
      <c r="M20" s="16"/>
      <c r="N20" s="16" t="s">
        <v>5</v>
      </c>
      <c r="O20" s="16"/>
      <c r="P20" s="17">
        <v>3500000</v>
      </c>
      <c r="Q20" s="21">
        <v>5800000</v>
      </c>
    </row>
    <row r="21" spans="1:18" x14ac:dyDescent="0.2">
      <c r="A21" s="13">
        <f t="shared" si="1"/>
        <v>17</v>
      </c>
      <c r="B21" s="19" t="s">
        <v>202</v>
      </c>
      <c r="C21" s="20">
        <v>8</v>
      </c>
      <c r="D21" s="16" t="s">
        <v>207</v>
      </c>
      <c r="E21" s="16" t="s">
        <v>10</v>
      </c>
      <c r="F21" s="16" t="s">
        <v>26</v>
      </c>
      <c r="G21" s="16"/>
      <c r="H21" s="16" t="s">
        <v>8</v>
      </c>
      <c r="I21" s="16"/>
      <c r="J21" s="16" t="s">
        <v>208</v>
      </c>
      <c r="K21" s="16"/>
      <c r="L21" s="16" t="s">
        <v>209</v>
      </c>
      <c r="M21" s="16"/>
      <c r="N21" s="16" t="s">
        <v>209</v>
      </c>
      <c r="O21" s="16"/>
      <c r="P21" s="17">
        <v>3500000</v>
      </c>
      <c r="Q21" s="21">
        <v>5800000</v>
      </c>
    </row>
    <row r="22" spans="1:18" x14ac:dyDescent="0.2">
      <c r="A22" s="13">
        <f t="shared" si="1"/>
        <v>18</v>
      </c>
      <c r="B22" s="19" t="s">
        <v>205</v>
      </c>
      <c r="C22" s="20">
        <v>8</v>
      </c>
      <c r="D22" s="16" t="s">
        <v>212</v>
      </c>
      <c r="E22" s="16" t="s">
        <v>2</v>
      </c>
      <c r="F22" s="16"/>
      <c r="G22" s="16"/>
      <c r="H22" s="16" t="s">
        <v>207</v>
      </c>
      <c r="I22" s="16"/>
      <c r="J22" s="16" t="s">
        <v>213</v>
      </c>
      <c r="K22" s="16"/>
      <c r="L22" s="16"/>
      <c r="M22" s="16" t="s">
        <v>214</v>
      </c>
      <c r="N22" s="16"/>
      <c r="O22" s="16" t="s">
        <v>9</v>
      </c>
      <c r="P22" s="17">
        <v>3500000</v>
      </c>
      <c r="Q22" s="21">
        <v>5800000</v>
      </c>
    </row>
    <row r="23" spans="1:18" s="5" customFormat="1" x14ac:dyDescent="0.2">
      <c r="A23" s="13">
        <f t="shared" si="1"/>
        <v>19</v>
      </c>
      <c r="B23" s="14" t="s">
        <v>262</v>
      </c>
      <c r="C23" s="15">
        <v>8</v>
      </c>
      <c r="D23" s="16" t="s">
        <v>8</v>
      </c>
      <c r="E23" s="16" t="s">
        <v>26</v>
      </c>
      <c r="F23" s="16" t="s">
        <v>200</v>
      </c>
      <c r="G23" s="16"/>
      <c r="H23" s="16"/>
      <c r="I23" s="16" t="s">
        <v>26</v>
      </c>
      <c r="J23" s="16"/>
      <c r="K23" s="16" t="s">
        <v>6</v>
      </c>
      <c r="L23" s="16"/>
      <c r="M23" s="16" t="s">
        <v>4</v>
      </c>
      <c r="N23" s="16"/>
      <c r="O23" s="16"/>
      <c r="P23" s="17">
        <v>3500000</v>
      </c>
      <c r="Q23" s="18">
        <v>5800000</v>
      </c>
      <c r="R23" s="4"/>
    </row>
    <row r="24" spans="1:18" s="5" customFormat="1" x14ac:dyDescent="0.2">
      <c r="A24" s="13">
        <f t="shared" si="1"/>
        <v>20</v>
      </c>
      <c r="B24" s="14" t="s">
        <v>266</v>
      </c>
      <c r="C24" s="15">
        <v>8</v>
      </c>
      <c r="D24" s="16" t="s">
        <v>8</v>
      </c>
      <c r="E24" s="16" t="s">
        <v>26</v>
      </c>
      <c r="F24" s="16" t="s">
        <v>200</v>
      </c>
      <c r="G24" s="16"/>
      <c r="H24" s="16"/>
      <c r="I24" s="16" t="s">
        <v>26</v>
      </c>
      <c r="J24" s="16"/>
      <c r="K24" s="16" t="s">
        <v>6</v>
      </c>
      <c r="L24" s="16"/>
      <c r="M24" s="16" t="s">
        <v>4</v>
      </c>
      <c r="N24" s="16"/>
      <c r="O24" s="16"/>
      <c r="P24" s="17">
        <v>3500000</v>
      </c>
      <c r="Q24" s="18">
        <v>5800000</v>
      </c>
      <c r="R24" s="4"/>
    </row>
    <row r="25" spans="1:18" x14ac:dyDescent="0.2">
      <c r="A25" s="12"/>
      <c r="B25" s="53" t="s">
        <v>52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5"/>
    </row>
    <row r="26" spans="1:18" x14ac:dyDescent="0.2">
      <c r="A26" s="23">
        <v>1</v>
      </c>
      <c r="B26" s="19" t="s">
        <v>58</v>
      </c>
      <c r="C26" s="24">
        <v>8</v>
      </c>
      <c r="D26" s="25"/>
      <c r="E26" s="16" t="s">
        <v>24</v>
      </c>
      <c r="F26" s="25"/>
      <c r="G26" s="26"/>
      <c r="H26" s="16" t="s">
        <v>24</v>
      </c>
      <c r="I26" s="25"/>
      <c r="J26" s="16" t="s">
        <v>4</v>
      </c>
      <c r="K26" s="25"/>
      <c r="L26" s="25"/>
      <c r="M26" s="16" t="s">
        <v>26</v>
      </c>
      <c r="N26" s="25"/>
      <c r="O26" s="25"/>
      <c r="P26" s="17">
        <v>3500000</v>
      </c>
      <c r="Q26" s="18">
        <v>5800000</v>
      </c>
      <c r="R26" s="4"/>
    </row>
    <row r="27" spans="1:18" x14ac:dyDescent="0.2">
      <c r="A27" s="23">
        <f>A26+1</f>
        <v>2</v>
      </c>
      <c r="B27" s="19" t="s">
        <v>63</v>
      </c>
      <c r="C27" s="24">
        <v>8</v>
      </c>
      <c r="D27" s="16" t="s">
        <v>9</v>
      </c>
      <c r="E27" s="25"/>
      <c r="F27" s="25"/>
      <c r="G27" s="16" t="s">
        <v>8</v>
      </c>
      <c r="H27" s="25"/>
      <c r="I27" s="25"/>
      <c r="J27" s="16" t="s">
        <v>9</v>
      </c>
      <c r="K27" s="25"/>
      <c r="L27" s="25"/>
      <c r="M27" s="16" t="s">
        <v>4</v>
      </c>
      <c r="N27" s="25"/>
      <c r="O27" s="25"/>
      <c r="P27" s="17">
        <v>3500000</v>
      </c>
      <c r="Q27" s="21">
        <v>5800000</v>
      </c>
    </row>
    <row r="28" spans="1:18" x14ac:dyDescent="0.2">
      <c r="A28" s="23">
        <f t="shared" ref="A28:A57" si="2">A27+1</f>
        <v>3</v>
      </c>
      <c r="B28" s="19" t="s">
        <v>195</v>
      </c>
      <c r="C28" s="24">
        <v>8</v>
      </c>
      <c r="D28" s="16" t="s">
        <v>9</v>
      </c>
      <c r="E28" s="25"/>
      <c r="F28" s="25"/>
      <c r="G28" s="16" t="s">
        <v>6</v>
      </c>
      <c r="H28" s="25"/>
      <c r="I28" s="25"/>
      <c r="J28" s="16" t="s">
        <v>8</v>
      </c>
      <c r="K28" s="25"/>
      <c r="L28" s="25"/>
      <c r="M28" s="16" t="s">
        <v>4</v>
      </c>
      <c r="N28" s="25"/>
      <c r="O28" s="25"/>
      <c r="P28" s="17">
        <v>3500000</v>
      </c>
      <c r="Q28" s="18">
        <v>5800000</v>
      </c>
      <c r="R28" s="4"/>
    </row>
    <row r="29" spans="1:18" x14ac:dyDescent="0.2">
      <c r="A29" s="23">
        <f t="shared" si="2"/>
        <v>4</v>
      </c>
      <c r="B29" s="19" t="s">
        <v>54</v>
      </c>
      <c r="C29" s="24">
        <v>12</v>
      </c>
      <c r="D29" s="16" t="s">
        <v>216</v>
      </c>
      <c r="E29" s="25"/>
      <c r="F29" s="25"/>
      <c r="G29" s="16" t="s">
        <v>216</v>
      </c>
      <c r="H29" s="25"/>
      <c r="I29" s="25"/>
      <c r="J29" s="16" t="s">
        <v>1</v>
      </c>
      <c r="K29" s="25"/>
      <c r="L29" s="25"/>
      <c r="M29" s="16" t="s">
        <v>216</v>
      </c>
      <c r="N29" s="25"/>
      <c r="O29" s="25"/>
      <c r="P29" s="17">
        <v>4900000</v>
      </c>
      <c r="Q29" s="18">
        <v>8700000</v>
      </c>
      <c r="R29" s="4"/>
    </row>
    <row r="30" spans="1:18" x14ac:dyDescent="0.2">
      <c r="A30" s="23">
        <f t="shared" si="2"/>
        <v>5</v>
      </c>
      <c r="B30" s="19" t="s">
        <v>64</v>
      </c>
      <c r="C30" s="24">
        <v>8</v>
      </c>
      <c r="D30" s="25"/>
      <c r="E30" s="25"/>
      <c r="F30" s="25"/>
      <c r="G30" s="16" t="s">
        <v>6</v>
      </c>
      <c r="H30" s="25"/>
      <c r="I30" s="25"/>
      <c r="J30" s="25"/>
      <c r="K30" s="16" t="s">
        <v>26</v>
      </c>
      <c r="L30" s="25"/>
      <c r="M30" s="25"/>
      <c r="N30" s="16" t="s">
        <v>15</v>
      </c>
      <c r="O30" s="25"/>
      <c r="P30" s="17">
        <v>3500000</v>
      </c>
      <c r="Q30" s="21">
        <v>5800000</v>
      </c>
    </row>
    <row r="31" spans="1:18" x14ac:dyDescent="0.2">
      <c r="A31" s="23">
        <f t="shared" si="2"/>
        <v>6</v>
      </c>
      <c r="B31" s="19" t="s">
        <v>176</v>
      </c>
      <c r="C31" s="24">
        <v>8</v>
      </c>
      <c r="D31" s="25"/>
      <c r="E31" s="16" t="s">
        <v>5</v>
      </c>
      <c r="F31" s="25"/>
      <c r="G31" s="25"/>
      <c r="H31" s="16" t="s">
        <v>200</v>
      </c>
      <c r="I31" s="25"/>
      <c r="J31" s="25"/>
      <c r="K31" s="16" t="s">
        <v>26</v>
      </c>
      <c r="L31" s="25"/>
      <c r="M31" s="25"/>
      <c r="N31" s="16" t="s">
        <v>15</v>
      </c>
      <c r="O31" s="25"/>
      <c r="P31" s="17">
        <v>3500000</v>
      </c>
      <c r="Q31" s="21">
        <v>5800000</v>
      </c>
    </row>
    <row r="32" spans="1:18" x14ac:dyDescent="0.2">
      <c r="A32" s="23">
        <f t="shared" si="2"/>
        <v>7</v>
      </c>
      <c r="B32" s="19" t="s">
        <v>172</v>
      </c>
      <c r="C32" s="27">
        <v>8</v>
      </c>
      <c r="D32" s="16" t="s">
        <v>6</v>
      </c>
      <c r="E32" s="25"/>
      <c r="F32" s="25"/>
      <c r="G32" s="16" t="s">
        <v>6</v>
      </c>
      <c r="H32" s="25"/>
      <c r="I32" s="25"/>
      <c r="J32" s="16" t="s">
        <v>6</v>
      </c>
      <c r="K32" s="25"/>
      <c r="L32" s="25"/>
      <c r="M32" s="16" t="s">
        <v>6</v>
      </c>
      <c r="N32" s="25"/>
      <c r="O32" s="25"/>
      <c r="P32" s="17">
        <v>3500000</v>
      </c>
      <c r="Q32" s="21">
        <v>5800000</v>
      </c>
    </row>
    <row r="33" spans="1:18" x14ac:dyDescent="0.2">
      <c r="A33" s="23">
        <f t="shared" si="2"/>
        <v>8</v>
      </c>
      <c r="B33" s="19" t="s">
        <v>51</v>
      </c>
      <c r="C33" s="27">
        <v>8</v>
      </c>
      <c r="D33" s="16" t="s">
        <v>4</v>
      </c>
      <c r="E33" s="25"/>
      <c r="F33" s="25"/>
      <c r="G33" s="16" t="s">
        <v>8</v>
      </c>
      <c r="H33" s="25"/>
      <c r="I33" s="25"/>
      <c r="J33" s="16" t="s">
        <v>9</v>
      </c>
      <c r="K33" s="25"/>
      <c r="L33" s="25"/>
      <c r="M33" s="16" t="s">
        <v>6</v>
      </c>
      <c r="N33" s="25"/>
      <c r="O33" s="25"/>
      <c r="P33" s="17">
        <v>3500000</v>
      </c>
      <c r="Q33" s="21">
        <v>5800000</v>
      </c>
    </row>
    <row r="34" spans="1:18" x14ac:dyDescent="0.2">
      <c r="A34" s="23">
        <f t="shared" si="2"/>
        <v>9</v>
      </c>
      <c r="B34" s="19" t="s">
        <v>61</v>
      </c>
      <c r="C34" s="24">
        <v>8</v>
      </c>
      <c r="D34" s="25"/>
      <c r="E34" s="16" t="s">
        <v>15</v>
      </c>
      <c r="F34" s="25"/>
      <c r="G34" s="26"/>
      <c r="H34" s="16" t="s">
        <v>26</v>
      </c>
      <c r="I34" s="25"/>
      <c r="J34" s="25"/>
      <c r="K34" s="16" t="s">
        <v>24</v>
      </c>
      <c r="L34" s="25"/>
      <c r="M34" s="25"/>
      <c r="N34" s="16" t="s">
        <v>0</v>
      </c>
      <c r="O34" s="25"/>
      <c r="P34" s="17">
        <v>3500000</v>
      </c>
      <c r="Q34" s="18">
        <v>5800000</v>
      </c>
      <c r="R34" s="4"/>
    </row>
    <row r="35" spans="1:18" x14ac:dyDescent="0.2">
      <c r="A35" s="23">
        <f t="shared" si="2"/>
        <v>10</v>
      </c>
      <c r="B35" s="19" t="s">
        <v>16</v>
      </c>
      <c r="C35" s="24">
        <v>8</v>
      </c>
      <c r="D35" s="25"/>
      <c r="E35" s="25"/>
      <c r="F35" s="16" t="s">
        <v>5</v>
      </c>
      <c r="G35" s="25"/>
      <c r="H35" s="25"/>
      <c r="I35" s="16" t="s">
        <v>0</v>
      </c>
      <c r="J35" s="25"/>
      <c r="K35" s="25"/>
      <c r="L35" s="16" t="s">
        <v>9</v>
      </c>
      <c r="M35" s="25"/>
      <c r="N35" s="25"/>
      <c r="O35" s="16" t="s">
        <v>15</v>
      </c>
      <c r="P35" s="17">
        <v>3500000</v>
      </c>
      <c r="Q35" s="21">
        <v>5800000</v>
      </c>
    </row>
    <row r="36" spans="1:18" x14ac:dyDescent="0.2">
      <c r="A36" s="23">
        <f t="shared" si="2"/>
        <v>11</v>
      </c>
      <c r="B36" s="19" t="s">
        <v>177</v>
      </c>
      <c r="C36" s="24">
        <v>8</v>
      </c>
      <c r="D36" s="16" t="s">
        <v>8</v>
      </c>
      <c r="E36" s="25"/>
      <c r="F36" s="25"/>
      <c r="G36" s="16" t="s">
        <v>6</v>
      </c>
      <c r="H36" s="25"/>
      <c r="I36" s="25"/>
      <c r="J36" s="16" t="s">
        <v>6</v>
      </c>
      <c r="K36" s="25"/>
      <c r="L36" s="25"/>
      <c r="M36" s="16" t="s">
        <v>4</v>
      </c>
      <c r="N36" s="25"/>
      <c r="O36" s="25"/>
      <c r="P36" s="17">
        <v>3500000</v>
      </c>
      <c r="Q36" s="21">
        <v>5800000</v>
      </c>
    </row>
    <row r="37" spans="1:18" x14ac:dyDescent="0.2">
      <c r="A37" s="23">
        <f t="shared" si="2"/>
        <v>12</v>
      </c>
      <c r="B37" s="19" t="s">
        <v>17</v>
      </c>
      <c r="C37" s="24">
        <v>8</v>
      </c>
      <c r="D37" s="16" t="s">
        <v>6</v>
      </c>
      <c r="E37" s="25"/>
      <c r="F37" s="16" t="s">
        <v>5</v>
      </c>
      <c r="G37" s="25"/>
      <c r="H37" s="25"/>
      <c r="I37" s="25"/>
      <c r="J37" s="16" t="s">
        <v>6</v>
      </c>
      <c r="K37" s="25"/>
      <c r="L37" s="25"/>
      <c r="M37" s="25"/>
      <c r="N37" s="25"/>
      <c r="O37" s="16" t="s">
        <v>9</v>
      </c>
      <c r="P37" s="17">
        <v>3500000</v>
      </c>
      <c r="Q37" s="21">
        <v>5800000</v>
      </c>
    </row>
    <row r="38" spans="1:18" x14ac:dyDescent="0.2">
      <c r="A38" s="23">
        <f t="shared" si="2"/>
        <v>13</v>
      </c>
      <c r="B38" s="19" t="s">
        <v>20</v>
      </c>
      <c r="C38" s="24">
        <v>8</v>
      </c>
      <c r="D38" s="25"/>
      <c r="E38" s="16" t="s">
        <v>5</v>
      </c>
      <c r="F38" s="25"/>
      <c r="G38" s="25"/>
      <c r="H38" s="16" t="s">
        <v>10</v>
      </c>
      <c r="I38" s="25"/>
      <c r="J38" s="25"/>
      <c r="K38" s="16" t="s">
        <v>5</v>
      </c>
      <c r="L38" s="25"/>
      <c r="M38" s="25"/>
      <c r="N38" s="16" t="s">
        <v>24</v>
      </c>
      <c r="O38" s="25"/>
      <c r="P38" s="17">
        <v>3500000</v>
      </c>
      <c r="Q38" s="21">
        <v>5800000</v>
      </c>
    </row>
    <row r="39" spans="1:18" x14ac:dyDescent="0.2">
      <c r="A39" s="23">
        <f t="shared" si="2"/>
        <v>14</v>
      </c>
      <c r="B39" s="19" t="s">
        <v>21</v>
      </c>
      <c r="C39" s="24">
        <v>8</v>
      </c>
      <c r="D39" s="25"/>
      <c r="E39" s="25"/>
      <c r="F39" s="16" t="s">
        <v>28</v>
      </c>
      <c r="G39" s="25"/>
      <c r="H39" s="25"/>
      <c r="I39" s="16" t="s">
        <v>9</v>
      </c>
      <c r="J39" s="25"/>
      <c r="K39" s="25"/>
      <c r="L39" s="28" t="s">
        <v>9</v>
      </c>
      <c r="M39" s="25"/>
      <c r="N39" s="25"/>
      <c r="O39" s="16" t="s">
        <v>9</v>
      </c>
      <c r="P39" s="17">
        <v>3500000</v>
      </c>
      <c r="Q39" s="21">
        <v>5800000</v>
      </c>
    </row>
    <row r="40" spans="1:18" x14ac:dyDescent="0.2">
      <c r="A40" s="23">
        <f t="shared" si="2"/>
        <v>15</v>
      </c>
      <c r="B40" s="19" t="s">
        <v>57</v>
      </c>
      <c r="C40" s="27">
        <v>4</v>
      </c>
      <c r="D40" s="25"/>
      <c r="E40" s="29" t="s">
        <v>45</v>
      </c>
      <c r="F40" s="25"/>
      <c r="G40" s="25"/>
      <c r="H40" s="25"/>
      <c r="I40" s="29" t="s">
        <v>46</v>
      </c>
      <c r="J40" s="25"/>
      <c r="K40" s="25"/>
      <c r="L40" s="29" t="s">
        <v>50</v>
      </c>
      <c r="M40" s="25"/>
      <c r="N40" s="25"/>
      <c r="O40" s="29" t="s">
        <v>27</v>
      </c>
      <c r="P40" s="30">
        <v>2100000</v>
      </c>
      <c r="Q40" s="21">
        <v>2900000</v>
      </c>
    </row>
    <row r="41" spans="1:18" x14ac:dyDescent="0.2">
      <c r="A41" s="23">
        <f t="shared" si="2"/>
        <v>16</v>
      </c>
      <c r="B41" s="19" t="s">
        <v>69</v>
      </c>
      <c r="C41" s="24">
        <v>8</v>
      </c>
      <c r="D41" s="16" t="s">
        <v>9</v>
      </c>
      <c r="E41" s="25"/>
      <c r="F41" s="16" t="s">
        <v>26</v>
      </c>
      <c r="G41" s="31"/>
      <c r="H41" s="31"/>
      <c r="I41" s="16" t="s">
        <v>0</v>
      </c>
      <c r="J41" s="31"/>
      <c r="K41" s="31"/>
      <c r="L41" s="16" t="s">
        <v>215</v>
      </c>
      <c r="M41" s="31"/>
      <c r="N41" s="31"/>
      <c r="O41" s="16" t="s">
        <v>15</v>
      </c>
      <c r="P41" s="17">
        <v>3500000</v>
      </c>
      <c r="Q41" s="21">
        <v>5800000</v>
      </c>
    </row>
    <row r="42" spans="1:18" x14ac:dyDescent="0.2">
      <c r="A42" s="23">
        <f t="shared" si="2"/>
        <v>17</v>
      </c>
      <c r="B42" s="19" t="s">
        <v>59</v>
      </c>
      <c r="C42" s="24">
        <v>8</v>
      </c>
      <c r="D42" s="25"/>
      <c r="E42" s="25"/>
      <c r="F42" s="16" t="s">
        <v>24</v>
      </c>
      <c r="G42" s="25"/>
      <c r="H42" s="25"/>
      <c r="I42" s="16" t="s">
        <v>9</v>
      </c>
      <c r="J42" s="25"/>
      <c r="K42" s="25"/>
      <c r="L42" s="16" t="s">
        <v>6</v>
      </c>
      <c r="M42" s="25"/>
      <c r="N42" s="25"/>
      <c r="O42" s="16" t="s">
        <v>215</v>
      </c>
      <c r="P42" s="17">
        <v>3500000</v>
      </c>
      <c r="Q42" s="18">
        <v>5800000</v>
      </c>
      <c r="R42" s="4"/>
    </row>
    <row r="43" spans="1:18" x14ac:dyDescent="0.2">
      <c r="A43" s="23">
        <f t="shared" si="2"/>
        <v>18</v>
      </c>
      <c r="B43" s="19" t="s">
        <v>55</v>
      </c>
      <c r="C43" s="27">
        <v>4</v>
      </c>
      <c r="D43" s="25"/>
      <c r="E43" s="29" t="s">
        <v>48</v>
      </c>
      <c r="F43" s="25"/>
      <c r="G43" s="29" t="s">
        <v>50</v>
      </c>
      <c r="H43" s="25"/>
      <c r="I43" s="29" t="s">
        <v>173</v>
      </c>
      <c r="J43" s="25"/>
      <c r="K43" s="29" t="s">
        <v>47</v>
      </c>
      <c r="L43" s="16"/>
      <c r="M43" s="29" t="s">
        <v>46</v>
      </c>
      <c r="N43" s="16"/>
      <c r="O43" s="29" t="s">
        <v>47</v>
      </c>
      <c r="P43" s="30">
        <v>2100000</v>
      </c>
      <c r="Q43" s="18">
        <v>2900000</v>
      </c>
      <c r="R43" s="4"/>
    </row>
    <row r="44" spans="1:18" x14ac:dyDescent="0.2">
      <c r="A44" s="23">
        <f t="shared" si="2"/>
        <v>19</v>
      </c>
      <c r="B44" s="19" t="s">
        <v>18</v>
      </c>
      <c r="C44" s="24">
        <v>8</v>
      </c>
      <c r="D44" s="25"/>
      <c r="E44" s="25"/>
      <c r="F44" s="16" t="s">
        <v>0</v>
      </c>
      <c r="G44" s="25"/>
      <c r="H44" s="25"/>
      <c r="I44" s="16" t="s">
        <v>0</v>
      </c>
      <c r="J44" s="25"/>
      <c r="K44" s="25"/>
      <c r="L44" s="28" t="s">
        <v>9</v>
      </c>
      <c r="M44" s="25"/>
      <c r="N44" s="25"/>
      <c r="O44" s="16" t="s">
        <v>217</v>
      </c>
      <c r="P44" s="17">
        <v>3500000</v>
      </c>
      <c r="Q44" s="21">
        <v>5800000</v>
      </c>
    </row>
    <row r="45" spans="1:18" x14ac:dyDescent="0.2">
      <c r="A45" s="23">
        <f t="shared" si="2"/>
        <v>20</v>
      </c>
      <c r="B45" s="19" t="s">
        <v>56</v>
      </c>
      <c r="C45" s="27">
        <v>4</v>
      </c>
      <c r="D45" s="29" t="s">
        <v>48</v>
      </c>
      <c r="E45" s="25"/>
      <c r="F45" s="29" t="s">
        <v>218</v>
      </c>
      <c r="G45" s="25"/>
      <c r="H45" s="29" t="s">
        <v>27</v>
      </c>
      <c r="I45" s="25"/>
      <c r="J45" s="29" t="s">
        <v>50</v>
      </c>
      <c r="K45" s="25"/>
      <c r="L45" s="29" t="s">
        <v>50</v>
      </c>
      <c r="M45" s="25"/>
      <c r="N45" s="29" t="s">
        <v>49</v>
      </c>
      <c r="O45" s="25"/>
      <c r="P45" s="30">
        <v>2100000</v>
      </c>
      <c r="Q45" s="21">
        <v>2900000</v>
      </c>
    </row>
    <row r="46" spans="1:18" x14ac:dyDescent="0.2">
      <c r="A46" s="23">
        <f t="shared" si="2"/>
        <v>21</v>
      </c>
      <c r="B46" s="19" t="s">
        <v>65</v>
      </c>
      <c r="C46" s="24">
        <v>8</v>
      </c>
      <c r="D46" s="16" t="s">
        <v>4</v>
      </c>
      <c r="E46" s="25"/>
      <c r="F46" s="25"/>
      <c r="G46" s="16" t="s">
        <v>8</v>
      </c>
      <c r="H46" s="25"/>
      <c r="I46" s="25"/>
      <c r="J46" s="16" t="s">
        <v>8</v>
      </c>
      <c r="K46" s="25"/>
      <c r="L46" s="25"/>
      <c r="M46" s="16" t="s">
        <v>3</v>
      </c>
      <c r="N46" s="25"/>
      <c r="O46" s="25"/>
      <c r="P46" s="17">
        <v>3500000</v>
      </c>
      <c r="Q46" s="21">
        <v>5800000</v>
      </c>
    </row>
    <row r="47" spans="1:18" x14ac:dyDescent="0.2">
      <c r="A47" s="23">
        <f t="shared" si="2"/>
        <v>22</v>
      </c>
      <c r="B47" s="19" t="s">
        <v>23</v>
      </c>
      <c r="C47" s="24">
        <v>8</v>
      </c>
      <c r="D47" s="25"/>
      <c r="E47" s="16" t="s">
        <v>24</v>
      </c>
      <c r="F47" s="25"/>
      <c r="G47" s="26"/>
      <c r="H47" s="16" t="s">
        <v>28</v>
      </c>
      <c r="I47" s="25"/>
      <c r="J47" s="16" t="s">
        <v>3</v>
      </c>
      <c r="K47" s="25"/>
      <c r="L47" s="25"/>
      <c r="M47" s="16" t="s">
        <v>26</v>
      </c>
      <c r="N47" s="25"/>
      <c r="O47" s="25"/>
      <c r="P47" s="17">
        <v>3500000</v>
      </c>
      <c r="Q47" s="21">
        <v>5800000</v>
      </c>
    </row>
    <row r="48" spans="1:18" x14ac:dyDescent="0.2">
      <c r="A48" s="23">
        <f t="shared" si="2"/>
        <v>23</v>
      </c>
      <c r="B48" s="19" t="s">
        <v>169</v>
      </c>
      <c r="C48" s="24">
        <v>8</v>
      </c>
      <c r="D48" s="16" t="s">
        <v>6</v>
      </c>
      <c r="E48" s="25"/>
      <c r="F48" s="16" t="s">
        <v>26</v>
      </c>
      <c r="G48" s="31"/>
      <c r="H48" s="31"/>
      <c r="I48" s="32" t="s">
        <v>0</v>
      </c>
      <c r="J48" s="31"/>
      <c r="K48" s="31"/>
      <c r="L48" s="28" t="s">
        <v>9</v>
      </c>
      <c r="M48" s="31"/>
      <c r="N48" s="31"/>
      <c r="O48" s="16" t="s">
        <v>6</v>
      </c>
      <c r="P48" s="17">
        <v>3500000</v>
      </c>
      <c r="Q48" s="18">
        <v>5800000</v>
      </c>
      <c r="R48" s="4"/>
    </row>
    <row r="49" spans="1:18" x14ac:dyDescent="0.2">
      <c r="A49" s="23">
        <f t="shared" si="2"/>
        <v>24</v>
      </c>
      <c r="B49" s="19" t="s">
        <v>60</v>
      </c>
      <c r="C49" s="24">
        <v>8</v>
      </c>
      <c r="D49" s="16" t="s">
        <v>6</v>
      </c>
      <c r="E49" s="25"/>
      <c r="F49" s="25"/>
      <c r="G49" s="16" t="s">
        <v>8</v>
      </c>
      <c r="H49" s="25"/>
      <c r="I49" s="25"/>
      <c r="J49" s="16" t="s">
        <v>6</v>
      </c>
      <c r="K49" s="25"/>
      <c r="L49" s="25"/>
      <c r="M49" s="16" t="s">
        <v>3</v>
      </c>
      <c r="N49" s="25"/>
      <c r="O49" s="25"/>
      <c r="P49" s="17">
        <v>3500000</v>
      </c>
      <c r="Q49" s="18">
        <v>5800000</v>
      </c>
      <c r="R49" s="4"/>
    </row>
    <row r="50" spans="1:18" x14ac:dyDescent="0.2">
      <c r="A50" s="23">
        <f t="shared" si="2"/>
        <v>25</v>
      </c>
      <c r="B50" s="19" t="s">
        <v>62</v>
      </c>
      <c r="C50" s="24">
        <v>8</v>
      </c>
      <c r="D50" s="25"/>
      <c r="E50" s="16" t="s">
        <v>0</v>
      </c>
      <c r="F50" s="25"/>
      <c r="G50" s="25"/>
      <c r="H50" s="16" t="s">
        <v>24</v>
      </c>
      <c r="I50" s="25"/>
      <c r="J50" s="25"/>
      <c r="K50" s="16" t="s">
        <v>26</v>
      </c>
      <c r="L50" s="25"/>
      <c r="M50" s="25"/>
      <c r="N50" s="16" t="s">
        <v>0</v>
      </c>
      <c r="O50" s="25"/>
      <c r="P50" s="17">
        <v>3500000</v>
      </c>
      <c r="Q50" s="18">
        <v>5800000</v>
      </c>
      <c r="R50" s="4"/>
    </row>
    <row r="51" spans="1:18" x14ac:dyDescent="0.2">
      <c r="A51" s="23">
        <f t="shared" si="2"/>
        <v>26</v>
      </c>
      <c r="B51" s="19" t="s">
        <v>19</v>
      </c>
      <c r="C51" s="27">
        <v>8</v>
      </c>
      <c r="D51" s="25"/>
      <c r="E51" s="16" t="s">
        <v>26</v>
      </c>
      <c r="F51" s="25"/>
      <c r="G51" s="25"/>
      <c r="H51" s="16" t="s">
        <v>26</v>
      </c>
      <c r="I51" s="25"/>
      <c r="J51" s="25"/>
      <c r="K51" s="16" t="s">
        <v>28</v>
      </c>
      <c r="L51" s="25"/>
      <c r="M51" s="16" t="s">
        <v>3</v>
      </c>
      <c r="N51" s="25"/>
      <c r="O51" s="16" t="s">
        <v>9</v>
      </c>
      <c r="P51" s="17">
        <v>3500000</v>
      </c>
      <c r="Q51" s="21">
        <v>5800000</v>
      </c>
    </row>
    <row r="52" spans="1:18" x14ac:dyDescent="0.2">
      <c r="A52" s="23">
        <f t="shared" si="2"/>
        <v>27</v>
      </c>
      <c r="B52" s="19" t="s">
        <v>66</v>
      </c>
      <c r="C52" s="24">
        <v>8</v>
      </c>
      <c r="D52" s="25"/>
      <c r="E52" s="16" t="s">
        <v>0</v>
      </c>
      <c r="F52" s="25"/>
      <c r="G52" s="26"/>
      <c r="H52" s="16" t="s">
        <v>24</v>
      </c>
      <c r="I52" s="25"/>
      <c r="J52" s="25"/>
      <c r="K52" s="16" t="s">
        <v>24</v>
      </c>
      <c r="L52" s="25"/>
      <c r="M52" s="25"/>
      <c r="N52" s="16" t="s">
        <v>15</v>
      </c>
      <c r="O52" s="25"/>
      <c r="P52" s="17">
        <v>3500000</v>
      </c>
      <c r="Q52" s="21">
        <v>5800000</v>
      </c>
    </row>
    <row r="53" spans="1:18" x14ac:dyDescent="0.2">
      <c r="A53" s="23">
        <f t="shared" si="2"/>
        <v>28</v>
      </c>
      <c r="B53" s="19" t="s">
        <v>67</v>
      </c>
      <c r="C53" s="24">
        <v>8</v>
      </c>
      <c r="D53" s="16" t="s">
        <v>9</v>
      </c>
      <c r="E53" s="25"/>
      <c r="F53" s="25"/>
      <c r="G53" s="16" t="s">
        <v>8</v>
      </c>
      <c r="H53" s="25"/>
      <c r="I53" s="25"/>
      <c r="J53" s="16" t="s">
        <v>9</v>
      </c>
      <c r="K53" s="25"/>
      <c r="L53" s="25"/>
      <c r="M53" s="16" t="s">
        <v>4</v>
      </c>
      <c r="N53" s="25"/>
      <c r="O53" s="25"/>
      <c r="P53" s="17">
        <v>3500000</v>
      </c>
      <c r="Q53" s="21">
        <v>5800000</v>
      </c>
    </row>
    <row r="54" spans="1:18" x14ac:dyDescent="0.2">
      <c r="A54" s="23">
        <f t="shared" si="2"/>
        <v>29</v>
      </c>
      <c r="B54" s="19" t="s">
        <v>22</v>
      </c>
      <c r="C54" s="24">
        <v>8</v>
      </c>
      <c r="D54" s="16" t="s">
        <v>9</v>
      </c>
      <c r="E54" s="25"/>
      <c r="F54" s="25"/>
      <c r="G54" s="16" t="s">
        <v>6</v>
      </c>
      <c r="H54" s="25"/>
      <c r="I54" s="25"/>
      <c r="J54" s="16" t="s">
        <v>8</v>
      </c>
      <c r="K54" s="25"/>
      <c r="L54" s="25"/>
      <c r="M54" s="16" t="s">
        <v>4</v>
      </c>
      <c r="N54" s="25"/>
      <c r="O54" s="25"/>
      <c r="P54" s="17">
        <v>3500000</v>
      </c>
      <c r="Q54" s="21">
        <v>5800000</v>
      </c>
    </row>
    <row r="55" spans="1:18" x14ac:dyDescent="0.2">
      <c r="A55" s="23">
        <f t="shared" si="2"/>
        <v>30</v>
      </c>
      <c r="B55" s="19" t="s">
        <v>68</v>
      </c>
      <c r="C55" s="24">
        <v>8</v>
      </c>
      <c r="D55" s="16" t="s">
        <v>4</v>
      </c>
      <c r="E55" s="25"/>
      <c r="F55" s="16" t="s">
        <v>0</v>
      </c>
      <c r="G55" s="25"/>
      <c r="H55" s="25"/>
      <c r="I55" s="25"/>
      <c r="J55" s="16" t="s">
        <v>6</v>
      </c>
      <c r="K55" s="25"/>
      <c r="L55" s="25"/>
      <c r="M55" s="25"/>
      <c r="N55" s="25"/>
      <c r="O55" s="16" t="s">
        <v>9</v>
      </c>
      <c r="P55" s="17">
        <v>3500000</v>
      </c>
      <c r="Q55" s="21">
        <v>5800000</v>
      </c>
    </row>
    <row r="56" spans="1:18" x14ac:dyDescent="0.2">
      <c r="A56" s="23">
        <f t="shared" si="2"/>
        <v>31</v>
      </c>
      <c r="B56" s="19" t="s">
        <v>70</v>
      </c>
      <c r="C56" s="24">
        <v>8</v>
      </c>
      <c r="D56" s="25"/>
      <c r="E56" s="16" t="s">
        <v>15</v>
      </c>
      <c r="F56" s="25"/>
      <c r="G56" s="26"/>
      <c r="H56" s="16" t="s">
        <v>26</v>
      </c>
      <c r="I56" s="25"/>
      <c r="J56" s="25"/>
      <c r="K56" s="16" t="s">
        <v>15</v>
      </c>
      <c r="L56" s="25"/>
      <c r="M56" s="25"/>
      <c r="N56" s="16" t="s">
        <v>24</v>
      </c>
      <c r="O56" s="25"/>
      <c r="P56" s="17">
        <v>3500000</v>
      </c>
      <c r="Q56" s="21">
        <v>5800000</v>
      </c>
    </row>
    <row r="57" spans="1:18" x14ac:dyDescent="0.2">
      <c r="A57" s="23">
        <f t="shared" si="2"/>
        <v>32</v>
      </c>
      <c r="B57" s="19" t="s">
        <v>71</v>
      </c>
      <c r="C57" s="24">
        <v>8</v>
      </c>
      <c r="D57" s="25"/>
      <c r="E57" s="25"/>
      <c r="F57" s="16" t="s">
        <v>24</v>
      </c>
      <c r="G57" s="25"/>
      <c r="H57" s="25"/>
      <c r="I57" s="25"/>
      <c r="J57" s="16" t="s">
        <v>8</v>
      </c>
      <c r="K57" s="25"/>
      <c r="L57" s="28" t="s">
        <v>9</v>
      </c>
      <c r="M57" s="25"/>
      <c r="N57" s="16" t="s">
        <v>0</v>
      </c>
      <c r="O57" s="25"/>
      <c r="P57" s="17">
        <v>3500000</v>
      </c>
      <c r="Q57" s="21">
        <v>5800000</v>
      </c>
    </row>
    <row r="58" spans="1:18" x14ac:dyDescent="0.2">
      <c r="A58" s="12"/>
      <c r="B58" s="53" t="s">
        <v>72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5"/>
    </row>
    <row r="59" spans="1:18" x14ac:dyDescent="0.2">
      <c r="A59" s="13">
        <v>1</v>
      </c>
      <c r="B59" s="19" t="s">
        <v>80</v>
      </c>
      <c r="C59" s="24">
        <v>8</v>
      </c>
      <c r="D59" s="25"/>
      <c r="E59" s="25"/>
      <c r="F59" s="16" t="s">
        <v>28</v>
      </c>
      <c r="G59" s="25"/>
      <c r="H59" s="25"/>
      <c r="I59" s="16" t="s">
        <v>9</v>
      </c>
      <c r="J59" s="25"/>
      <c r="K59" s="25"/>
      <c r="L59" s="28" t="s">
        <v>9</v>
      </c>
      <c r="M59" s="25"/>
      <c r="N59" s="25"/>
      <c r="O59" s="16" t="s">
        <v>9</v>
      </c>
      <c r="P59" s="17">
        <v>3500000</v>
      </c>
      <c r="Q59" s="21">
        <v>5800000</v>
      </c>
    </row>
    <row r="60" spans="1:18" x14ac:dyDescent="0.2">
      <c r="A60" s="13">
        <f>A59+1</f>
        <v>2</v>
      </c>
      <c r="B60" s="19" t="s">
        <v>25</v>
      </c>
      <c r="C60" s="24">
        <v>8</v>
      </c>
      <c r="D60" s="16" t="s">
        <v>9</v>
      </c>
      <c r="E60" s="25"/>
      <c r="F60" s="25"/>
      <c r="G60" s="16" t="s">
        <v>8</v>
      </c>
      <c r="H60" s="25"/>
      <c r="I60" s="25"/>
      <c r="J60" s="16" t="s">
        <v>0</v>
      </c>
      <c r="K60" s="25"/>
      <c r="L60" s="25"/>
      <c r="M60" s="16" t="s">
        <v>6</v>
      </c>
      <c r="N60" s="25"/>
      <c r="O60" s="25"/>
      <c r="P60" s="17">
        <v>3500000</v>
      </c>
      <c r="Q60" s="21">
        <v>5800000</v>
      </c>
    </row>
    <row r="61" spans="1:18" x14ac:dyDescent="0.2">
      <c r="A61" s="13">
        <f t="shared" ref="A61:A99" si="3">A60+1</f>
        <v>3</v>
      </c>
      <c r="B61" s="19" t="s">
        <v>99</v>
      </c>
      <c r="C61" s="24">
        <v>8</v>
      </c>
      <c r="D61" s="25"/>
      <c r="E61" s="25"/>
      <c r="F61" s="16" t="s">
        <v>0</v>
      </c>
      <c r="G61" s="25"/>
      <c r="H61" s="25"/>
      <c r="I61" s="16" t="s">
        <v>0</v>
      </c>
      <c r="J61" s="25"/>
      <c r="K61" s="25"/>
      <c r="L61" s="28" t="s">
        <v>9</v>
      </c>
      <c r="M61" s="25"/>
      <c r="N61" s="25"/>
      <c r="O61" s="16" t="s">
        <v>215</v>
      </c>
      <c r="P61" s="17">
        <v>3500000</v>
      </c>
      <c r="Q61" s="21">
        <v>5800000</v>
      </c>
    </row>
    <row r="62" spans="1:18" s="5" customFormat="1" ht="24" x14ac:dyDescent="0.2">
      <c r="A62" s="13">
        <f t="shared" si="3"/>
        <v>4</v>
      </c>
      <c r="B62" s="19" t="s">
        <v>178</v>
      </c>
      <c r="C62" s="24">
        <v>8</v>
      </c>
      <c r="D62" s="25"/>
      <c r="E62" s="16" t="s">
        <v>5</v>
      </c>
      <c r="F62" s="25"/>
      <c r="G62" s="25"/>
      <c r="H62" s="16" t="s">
        <v>201</v>
      </c>
      <c r="I62" s="25"/>
      <c r="J62" s="25"/>
      <c r="K62" s="16" t="s">
        <v>26</v>
      </c>
      <c r="L62" s="25"/>
      <c r="M62" s="25"/>
      <c r="N62" s="16" t="s">
        <v>15</v>
      </c>
      <c r="O62" s="25"/>
      <c r="P62" s="17">
        <v>3500000</v>
      </c>
      <c r="Q62" s="18">
        <v>5800000</v>
      </c>
      <c r="R62" s="4"/>
    </row>
    <row r="63" spans="1:18" s="5" customFormat="1" x14ac:dyDescent="0.2">
      <c r="A63" s="13">
        <f t="shared" si="3"/>
        <v>5</v>
      </c>
      <c r="B63" s="19" t="s">
        <v>89</v>
      </c>
      <c r="C63" s="24">
        <v>8</v>
      </c>
      <c r="D63" s="25"/>
      <c r="E63" s="16" t="s">
        <v>24</v>
      </c>
      <c r="F63" s="25"/>
      <c r="G63" s="26"/>
      <c r="H63" s="16" t="s">
        <v>26</v>
      </c>
      <c r="I63" s="25"/>
      <c r="J63" s="25"/>
      <c r="K63" s="16" t="s">
        <v>24</v>
      </c>
      <c r="L63" s="25"/>
      <c r="M63" s="25"/>
      <c r="N63" s="16" t="s">
        <v>26</v>
      </c>
      <c r="O63" s="25"/>
      <c r="P63" s="17">
        <v>3500000</v>
      </c>
      <c r="Q63" s="18">
        <v>5800000</v>
      </c>
      <c r="R63" s="4"/>
    </row>
    <row r="64" spans="1:18" s="5" customFormat="1" x14ac:dyDescent="0.2">
      <c r="A64" s="13">
        <f t="shared" si="3"/>
        <v>6</v>
      </c>
      <c r="B64" s="19" t="s">
        <v>76</v>
      </c>
      <c r="C64" s="24">
        <v>8</v>
      </c>
      <c r="D64" s="25"/>
      <c r="E64" s="25"/>
      <c r="F64" s="16" t="s">
        <v>24</v>
      </c>
      <c r="G64" s="25"/>
      <c r="H64" s="25"/>
      <c r="I64" s="25"/>
      <c r="J64" s="16" t="s">
        <v>8</v>
      </c>
      <c r="K64" s="25"/>
      <c r="L64" s="28" t="s">
        <v>0</v>
      </c>
      <c r="M64" s="25"/>
      <c r="N64" s="16" t="s">
        <v>5</v>
      </c>
      <c r="O64" s="25"/>
      <c r="P64" s="17">
        <v>3500000</v>
      </c>
      <c r="Q64" s="18">
        <v>5800000</v>
      </c>
      <c r="R64" s="4"/>
    </row>
    <row r="65" spans="1:18" x14ac:dyDescent="0.2">
      <c r="A65" s="13">
        <f t="shared" si="3"/>
        <v>7</v>
      </c>
      <c r="B65" s="19" t="s">
        <v>82</v>
      </c>
      <c r="C65" s="24">
        <v>8</v>
      </c>
      <c r="D65" s="16" t="s">
        <v>6</v>
      </c>
      <c r="E65" s="25"/>
      <c r="F65" s="16" t="s">
        <v>5</v>
      </c>
      <c r="G65" s="25"/>
      <c r="H65" s="25"/>
      <c r="I65" s="25"/>
      <c r="J65" s="16" t="s">
        <v>9</v>
      </c>
      <c r="K65" s="25"/>
      <c r="L65" s="25"/>
      <c r="M65" s="25"/>
      <c r="N65" s="25"/>
      <c r="O65" s="16" t="s">
        <v>9</v>
      </c>
      <c r="P65" s="17">
        <v>3500000</v>
      </c>
      <c r="Q65" s="21">
        <v>5800000</v>
      </c>
    </row>
    <row r="66" spans="1:18" x14ac:dyDescent="0.2">
      <c r="A66" s="13">
        <f t="shared" si="3"/>
        <v>8</v>
      </c>
      <c r="B66" s="19" t="s">
        <v>272</v>
      </c>
      <c r="C66" s="24">
        <v>8</v>
      </c>
      <c r="D66" s="16" t="s">
        <v>8</v>
      </c>
      <c r="E66" s="25"/>
      <c r="F66" s="25"/>
      <c r="G66" s="16" t="s">
        <v>6</v>
      </c>
      <c r="H66" s="25"/>
      <c r="I66" s="25"/>
      <c r="J66" s="16" t="s">
        <v>6</v>
      </c>
      <c r="K66" s="25"/>
      <c r="L66" s="25"/>
      <c r="M66" s="16" t="s">
        <v>4</v>
      </c>
      <c r="N66" s="25"/>
      <c r="O66" s="25"/>
      <c r="P66" s="17">
        <v>3500000</v>
      </c>
      <c r="Q66" s="21">
        <v>5800000</v>
      </c>
    </row>
    <row r="67" spans="1:18" x14ac:dyDescent="0.2">
      <c r="A67" s="13">
        <f t="shared" si="3"/>
        <v>9</v>
      </c>
      <c r="B67" s="19" t="s">
        <v>179</v>
      </c>
      <c r="C67" s="24">
        <v>8</v>
      </c>
      <c r="D67" s="25"/>
      <c r="E67" s="25"/>
      <c r="F67" s="25"/>
      <c r="G67" s="16" t="s">
        <v>6</v>
      </c>
      <c r="H67" s="25"/>
      <c r="I67" s="25"/>
      <c r="J67" s="25"/>
      <c r="K67" s="16" t="s">
        <v>26</v>
      </c>
      <c r="L67" s="25"/>
      <c r="M67" s="25"/>
      <c r="N67" s="16" t="s">
        <v>15</v>
      </c>
      <c r="O67" s="25"/>
      <c r="P67" s="17">
        <v>3500000</v>
      </c>
      <c r="Q67" s="21">
        <v>5800000</v>
      </c>
    </row>
    <row r="68" spans="1:18" x14ac:dyDescent="0.2">
      <c r="A68" s="13">
        <f t="shared" si="3"/>
        <v>10</v>
      </c>
      <c r="B68" s="19" t="s">
        <v>87</v>
      </c>
      <c r="C68" s="24">
        <v>8</v>
      </c>
      <c r="D68" s="25"/>
      <c r="E68" s="16" t="s">
        <v>26</v>
      </c>
      <c r="F68" s="25"/>
      <c r="G68" s="26"/>
      <c r="H68" s="16" t="s">
        <v>10</v>
      </c>
      <c r="I68" s="25"/>
      <c r="J68" s="16" t="s">
        <v>8</v>
      </c>
      <c r="K68" s="25"/>
      <c r="L68" s="25"/>
      <c r="M68" s="16" t="s">
        <v>4</v>
      </c>
      <c r="N68" s="25"/>
      <c r="O68" s="25"/>
      <c r="P68" s="17">
        <v>3500000</v>
      </c>
      <c r="Q68" s="21">
        <v>5800000</v>
      </c>
    </row>
    <row r="69" spans="1:18" x14ac:dyDescent="0.2">
      <c r="A69" s="13">
        <f t="shared" si="3"/>
        <v>11</v>
      </c>
      <c r="B69" s="19" t="s">
        <v>90</v>
      </c>
      <c r="C69" s="24">
        <v>8</v>
      </c>
      <c r="D69" s="25"/>
      <c r="E69" s="16" t="s">
        <v>5</v>
      </c>
      <c r="F69" s="25"/>
      <c r="G69" s="25"/>
      <c r="H69" s="16" t="s">
        <v>201</v>
      </c>
      <c r="I69" s="25"/>
      <c r="J69" s="25"/>
      <c r="K69" s="16" t="s">
        <v>26</v>
      </c>
      <c r="L69" s="25"/>
      <c r="M69" s="25"/>
      <c r="N69" s="16" t="s">
        <v>15</v>
      </c>
      <c r="O69" s="25"/>
      <c r="P69" s="17">
        <v>3500000</v>
      </c>
      <c r="Q69" s="21">
        <v>5800000</v>
      </c>
    </row>
    <row r="70" spans="1:18" s="5" customFormat="1" x14ac:dyDescent="0.2">
      <c r="A70" s="13">
        <f t="shared" si="3"/>
        <v>12</v>
      </c>
      <c r="B70" s="19" t="s">
        <v>73</v>
      </c>
      <c r="C70" s="24">
        <v>8</v>
      </c>
      <c r="D70" s="16" t="s">
        <v>6</v>
      </c>
      <c r="E70" s="25"/>
      <c r="F70" s="16" t="s">
        <v>5</v>
      </c>
      <c r="G70" s="25"/>
      <c r="H70" s="25"/>
      <c r="I70" s="25"/>
      <c r="J70" s="16" t="s">
        <v>9</v>
      </c>
      <c r="K70" s="25"/>
      <c r="L70" s="25"/>
      <c r="M70" s="25"/>
      <c r="N70" s="25"/>
      <c r="O70" s="16" t="s">
        <v>9</v>
      </c>
      <c r="P70" s="17">
        <v>3500000</v>
      </c>
      <c r="Q70" s="18">
        <v>5800000</v>
      </c>
      <c r="R70" s="4"/>
    </row>
    <row r="71" spans="1:18" s="5" customFormat="1" x14ac:dyDescent="0.2">
      <c r="A71" s="13">
        <f t="shared" si="3"/>
        <v>13</v>
      </c>
      <c r="B71" s="19" t="s">
        <v>74</v>
      </c>
      <c r="C71" s="24">
        <v>8</v>
      </c>
      <c r="D71" s="25"/>
      <c r="E71" s="16" t="s">
        <v>24</v>
      </c>
      <c r="F71" s="25"/>
      <c r="G71" s="26"/>
      <c r="H71" s="16" t="s">
        <v>26</v>
      </c>
      <c r="I71" s="25"/>
      <c r="J71" s="25"/>
      <c r="K71" s="16" t="s">
        <v>24</v>
      </c>
      <c r="L71" s="25"/>
      <c r="M71" s="25"/>
      <c r="N71" s="16" t="s">
        <v>26</v>
      </c>
      <c r="O71" s="25"/>
      <c r="P71" s="17">
        <v>3500000</v>
      </c>
      <c r="Q71" s="18">
        <v>5800000</v>
      </c>
      <c r="R71" s="4"/>
    </row>
    <row r="72" spans="1:18" x14ac:dyDescent="0.2">
      <c r="A72" s="13">
        <f t="shared" si="3"/>
        <v>14</v>
      </c>
      <c r="B72" s="19" t="s">
        <v>101</v>
      </c>
      <c r="C72" s="24">
        <v>8</v>
      </c>
      <c r="D72" s="25"/>
      <c r="E72" s="25"/>
      <c r="F72" s="25"/>
      <c r="G72" s="16" t="s">
        <v>6</v>
      </c>
      <c r="H72" s="25"/>
      <c r="I72" s="25"/>
      <c r="J72" s="25"/>
      <c r="K72" s="16" t="s">
        <v>26</v>
      </c>
      <c r="L72" s="25"/>
      <c r="M72" s="25"/>
      <c r="N72" s="16" t="s">
        <v>15</v>
      </c>
      <c r="O72" s="25"/>
      <c r="P72" s="17">
        <v>3500000</v>
      </c>
      <c r="Q72" s="21">
        <v>5800000</v>
      </c>
    </row>
    <row r="73" spans="1:18" x14ac:dyDescent="0.2">
      <c r="A73" s="13">
        <f t="shared" si="3"/>
        <v>15</v>
      </c>
      <c r="B73" s="19" t="s">
        <v>96</v>
      </c>
      <c r="C73" s="24">
        <v>8</v>
      </c>
      <c r="D73" s="25"/>
      <c r="E73" s="25"/>
      <c r="F73" s="16" t="s">
        <v>5</v>
      </c>
      <c r="G73" s="25"/>
      <c r="H73" s="25"/>
      <c r="I73" s="16" t="s">
        <v>5</v>
      </c>
      <c r="J73" s="25"/>
      <c r="K73" s="25"/>
      <c r="L73" s="16" t="s">
        <v>9</v>
      </c>
      <c r="M73" s="25"/>
      <c r="N73" s="25"/>
      <c r="O73" s="16" t="s">
        <v>215</v>
      </c>
      <c r="P73" s="17">
        <v>3500000</v>
      </c>
      <c r="Q73" s="21">
        <v>5800000</v>
      </c>
    </row>
    <row r="74" spans="1:18" x14ac:dyDescent="0.2">
      <c r="A74" s="13">
        <f t="shared" si="3"/>
        <v>16</v>
      </c>
      <c r="B74" s="19" t="s">
        <v>98</v>
      </c>
      <c r="C74" s="24">
        <v>8</v>
      </c>
      <c r="D74" s="16" t="s">
        <v>6</v>
      </c>
      <c r="E74" s="25"/>
      <c r="F74" s="16" t="s">
        <v>5</v>
      </c>
      <c r="G74" s="25"/>
      <c r="H74" s="25"/>
      <c r="I74" s="25"/>
      <c r="J74" s="16" t="s">
        <v>9</v>
      </c>
      <c r="K74" s="25"/>
      <c r="L74" s="25"/>
      <c r="M74" s="25"/>
      <c r="N74" s="25"/>
      <c r="O74" s="16" t="s">
        <v>9</v>
      </c>
      <c r="P74" s="17">
        <v>3500000</v>
      </c>
      <c r="Q74" s="21">
        <v>5800000</v>
      </c>
    </row>
    <row r="75" spans="1:18" x14ac:dyDescent="0.2">
      <c r="A75" s="13">
        <f t="shared" si="3"/>
        <v>17</v>
      </c>
      <c r="B75" s="19" t="s">
        <v>85</v>
      </c>
      <c r="C75" s="24">
        <v>8</v>
      </c>
      <c r="D75" s="16" t="s">
        <v>6</v>
      </c>
      <c r="E75" s="25"/>
      <c r="F75" s="16" t="s">
        <v>5</v>
      </c>
      <c r="G75" s="25"/>
      <c r="H75" s="25"/>
      <c r="I75" s="25"/>
      <c r="J75" s="16" t="s">
        <v>9</v>
      </c>
      <c r="K75" s="25"/>
      <c r="L75" s="25"/>
      <c r="M75" s="25"/>
      <c r="N75" s="25"/>
      <c r="O75" s="16" t="s">
        <v>9</v>
      </c>
      <c r="P75" s="17">
        <v>3500000</v>
      </c>
      <c r="Q75" s="21">
        <v>5800000</v>
      </c>
    </row>
    <row r="76" spans="1:18" ht="24" x14ac:dyDescent="0.2">
      <c r="A76" s="13">
        <f t="shared" si="3"/>
        <v>18</v>
      </c>
      <c r="B76" s="19" t="s">
        <v>180</v>
      </c>
      <c r="C76" s="24">
        <v>8</v>
      </c>
      <c r="D76" s="16" t="s">
        <v>6</v>
      </c>
      <c r="E76" s="25"/>
      <c r="F76" s="25"/>
      <c r="G76" s="16" t="s">
        <v>8</v>
      </c>
      <c r="H76" s="25"/>
      <c r="I76" s="25"/>
      <c r="J76" s="16" t="s">
        <v>8</v>
      </c>
      <c r="K76" s="25"/>
      <c r="L76" s="25"/>
      <c r="M76" s="16" t="s">
        <v>3</v>
      </c>
      <c r="N76" s="25"/>
      <c r="O76" s="25"/>
      <c r="P76" s="17">
        <v>3500000</v>
      </c>
      <c r="Q76" s="21">
        <v>5800000</v>
      </c>
    </row>
    <row r="77" spans="1:18" x14ac:dyDescent="0.2">
      <c r="A77" s="13">
        <f t="shared" si="3"/>
        <v>19</v>
      </c>
      <c r="B77" s="14" t="s">
        <v>221</v>
      </c>
      <c r="C77" s="33">
        <v>8</v>
      </c>
      <c r="D77" s="25"/>
      <c r="E77" s="16" t="s">
        <v>0</v>
      </c>
      <c r="F77" s="25"/>
      <c r="G77" s="26"/>
      <c r="H77" s="16" t="s">
        <v>26</v>
      </c>
      <c r="I77" s="25"/>
      <c r="J77" s="25"/>
      <c r="K77" s="16" t="s">
        <v>24</v>
      </c>
      <c r="L77" s="25"/>
      <c r="M77" s="25"/>
      <c r="N77" s="16" t="s">
        <v>24</v>
      </c>
      <c r="O77" s="25"/>
      <c r="P77" s="17">
        <v>3500000</v>
      </c>
      <c r="Q77" s="21">
        <v>5800000</v>
      </c>
    </row>
    <row r="78" spans="1:18" s="5" customFormat="1" x14ac:dyDescent="0.2">
      <c r="A78" s="13">
        <f t="shared" si="3"/>
        <v>20</v>
      </c>
      <c r="B78" s="14" t="s">
        <v>197</v>
      </c>
      <c r="C78" s="33">
        <v>8</v>
      </c>
      <c r="D78" s="25"/>
      <c r="E78" s="25"/>
      <c r="F78" s="16" t="s">
        <v>26</v>
      </c>
      <c r="G78" s="25"/>
      <c r="H78" s="25"/>
      <c r="I78" s="16" t="s">
        <v>15</v>
      </c>
      <c r="J78" s="25"/>
      <c r="K78" s="25"/>
      <c r="L78" s="16" t="s">
        <v>215</v>
      </c>
      <c r="M78" s="25"/>
      <c r="N78" s="25"/>
      <c r="O78" s="16" t="s">
        <v>9</v>
      </c>
      <c r="P78" s="17">
        <v>3500000</v>
      </c>
      <c r="Q78" s="18">
        <v>5800000</v>
      </c>
      <c r="R78" s="4"/>
    </row>
    <row r="79" spans="1:18" s="5" customFormat="1" x14ac:dyDescent="0.2">
      <c r="A79" s="13">
        <f t="shared" si="3"/>
        <v>21</v>
      </c>
      <c r="B79" s="14" t="s">
        <v>198</v>
      </c>
      <c r="C79" s="33">
        <v>4</v>
      </c>
      <c r="D79" s="29" t="s">
        <v>48</v>
      </c>
      <c r="E79" s="25"/>
      <c r="F79" s="29" t="s">
        <v>218</v>
      </c>
      <c r="G79" s="25"/>
      <c r="H79" s="29" t="s">
        <v>27</v>
      </c>
      <c r="I79" s="25"/>
      <c r="J79" s="29" t="s">
        <v>50</v>
      </c>
      <c r="K79" s="25"/>
      <c r="L79" s="29" t="s">
        <v>50</v>
      </c>
      <c r="M79" s="25"/>
      <c r="N79" s="29" t="s">
        <v>49</v>
      </c>
      <c r="O79" s="25"/>
      <c r="P79" s="30">
        <v>2100000</v>
      </c>
      <c r="Q79" s="18">
        <v>2900000</v>
      </c>
      <c r="R79" s="4"/>
    </row>
    <row r="80" spans="1:18" x14ac:dyDescent="0.2">
      <c r="A80" s="13">
        <f t="shared" si="3"/>
        <v>22</v>
      </c>
      <c r="B80" s="19" t="s">
        <v>78</v>
      </c>
      <c r="C80" s="24">
        <v>8</v>
      </c>
      <c r="D80" s="16" t="s">
        <v>9</v>
      </c>
      <c r="E80" s="25"/>
      <c r="F80" s="16" t="s">
        <v>26</v>
      </c>
      <c r="G80" s="31"/>
      <c r="H80" s="31"/>
      <c r="I80" s="16" t="s">
        <v>0</v>
      </c>
      <c r="J80" s="31"/>
      <c r="K80" s="31"/>
      <c r="L80" s="16" t="s">
        <v>215</v>
      </c>
      <c r="M80" s="31"/>
      <c r="N80" s="31"/>
      <c r="O80" s="16" t="s">
        <v>15</v>
      </c>
      <c r="P80" s="17">
        <v>3500000</v>
      </c>
      <c r="Q80" s="21">
        <v>5800000</v>
      </c>
    </row>
    <row r="81" spans="1:18" x14ac:dyDescent="0.2">
      <c r="A81" s="13">
        <f t="shared" si="3"/>
        <v>23</v>
      </c>
      <c r="B81" s="19" t="s">
        <v>79</v>
      </c>
      <c r="C81" s="24">
        <v>8</v>
      </c>
      <c r="D81" s="16" t="s">
        <v>9</v>
      </c>
      <c r="E81" s="25"/>
      <c r="F81" s="25"/>
      <c r="G81" s="16" t="s">
        <v>6</v>
      </c>
      <c r="H81" s="25"/>
      <c r="I81" s="25"/>
      <c r="J81" s="16" t="s">
        <v>8</v>
      </c>
      <c r="K81" s="25"/>
      <c r="L81" s="25"/>
      <c r="M81" s="16" t="s">
        <v>6</v>
      </c>
      <c r="N81" s="25"/>
      <c r="O81" s="25"/>
      <c r="P81" s="17">
        <v>3500000</v>
      </c>
      <c r="Q81" s="21">
        <v>5800000</v>
      </c>
    </row>
    <row r="82" spans="1:18" x14ac:dyDescent="0.2">
      <c r="A82" s="13">
        <f t="shared" si="3"/>
        <v>24</v>
      </c>
      <c r="B82" s="19" t="s">
        <v>81</v>
      </c>
      <c r="C82" s="24">
        <v>8</v>
      </c>
      <c r="D82" s="16" t="s">
        <v>9</v>
      </c>
      <c r="E82" s="25"/>
      <c r="F82" s="25"/>
      <c r="G82" s="16" t="s">
        <v>6</v>
      </c>
      <c r="H82" s="25"/>
      <c r="I82" s="25"/>
      <c r="J82" s="16" t="s">
        <v>8</v>
      </c>
      <c r="K82" s="25"/>
      <c r="L82" s="25"/>
      <c r="M82" s="16" t="s">
        <v>6</v>
      </c>
      <c r="N82" s="25"/>
      <c r="O82" s="25"/>
      <c r="P82" s="17">
        <v>3500000</v>
      </c>
      <c r="Q82" s="21">
        <v>5800000</v>
      </c>
    </row>
    <row r="83" spans="1:18" x14ac:dyDescent="0.2">
      <c r="A83" s="13">
        <f t="shared" si="3"/>
        <v>25</v>
      </c>
      <c r="B83" s="19" t="s">
        <v>83</v>
      </c>
      <c r="C83" s="24">
        <v>8</v>
      </c>
      <c r="D83" s="16" t="s">
        <v>9</v>
      </c>
      <c r="E83" s="25"/>
      <c r="F83" s="25"/>
      <c r="G83" s="16" t="s">
        <v>8</v>
      </c>
      <c r="H83" s="25"/>
      <c r="I83" s="25"/>
      <c r="J83" s="16" t="s">
        <v>0</v>
      </c>
      <c r="K83" s="25"/>
      <c r="L83" s="25"/>
      <c r="M83" s="16" t="s">
        <v>6</v>
      </c>
      <c r="N83" s="25"/>
      <c r="O83" s="25"/>
      <c r="P83" s="17">
        <v>3500000</v>
      </c>
      <c r="Q83" s="21">
        <v>5800000</v>
      </c>
    </row>
    <row r="84" spans="1:18" x14ac:dyDescent="0.2">
      <c r="A84" s="13">
        <f t="shared" si="3"/>
        <v>26</v>
      </c>
      <c r="B84" s="19" t="s">
        <v>86</v>
      </c>
      <c r="C84" s="24">
        <v>8</v>
      </c>
      <c r="D84" s="25"/>
      <c r="E84" s="25"/>
      <c r="F84" s="16" t="s">
        <v>26</v>
      </c>
      <c r="G84" s="25"/>
      <c r="H84" s="25"/>
      <c r="I84" s="16" t="s">
        <v>15</v>
      </c>
      <c r="J84" s="25"/>
      <c r="K84" s="25"/>
      <c r="L84" s="16" t="s">
        <v>215</v>
      </c>
      <c r="M84" s="25"/>
      <c r="N84" s="25"/>
      <c r="O84" s="16" t="s">
        <v>9</v>
      </c>
      <c r="P84" s="17">
        <v>3500000</v>
      </c>
      <c r="Q84" s="21">
        <v>5800000</v>
      </c>
    </row>
    <row r="85" spans="1:18" x14ac:dyDescent="0.2">
      <c r="A85" s="13">
        <f t="shared" si="3"/>
        <v>27</v>
      </c>
      <c r="B85" s="14" t="s">
        <v>12</v>
      </c>
      <c r="C85" s="33">
        <v>8</v>
      </c>
      <c r="D85" s="16" t="s">
        <v>6</v>
      </c>
      <c r="E85" s="25"/>
      <c r="F85" s="16" t="s">
        <v>5</v>
      </c>
      <c r="G85" s="25"/>
      <c r="H85" s="25"/>
      <c r="I85" s="25"/>
      <c r="J85" s="16" t="s">
        <v>9</v>
      </c>
      <c r="K85" s="25"/>
      <c r="L85" s="25"/>
      <c r="M85" s="25"/>
      <c r="N85" s="25"/>
      <c r="O85" s="16" t="s">
        <v>9</v>
      </c>
      <c r="P85" s="17">
        <v>3500000</v>
      </c>
      <c r="Q85" s="21">
        <v>5800000</v>
      </c>
    </row>
    <row r="86" spans="1:18" s="5" customFormat="1" x14ac:dyDescent="0.2">
      <c r="A86" s="13">
        <f t="shared" si="3"/>
        <v>28</v>
      </c>
      <c r="B86" s="19" t="s">
        <v>75</v>
      </c>
      <c r="C86" s="24">
        <v>8</v>
      </c>
      <c r="D86" s="16" t="s">
        <v>6</v>
      </c>
      <c r="E86" s="25"/>
      <c r="F86" s="25"/>
      <c r="G86" s="16" t="s">
        <v>8</v>
      </c>
      <c r="H86" s="25"/>
      <c r="I86" s="25"/>
      <c r="J86" s="16" t="s">
        <v>8</v>
      </c>
      <c r="K86" s="25"/>
      <c r="L86" s="25"/>
      <c r="M86" s="16" t="s">
        <v>3</v>
      </c>
      <c r="N86" s="25"/>
      <c r="O86" s="25"/>
      <c r="P86" s="17">
        <v>3500000</v>
      </c>
      <c r="Q86" s="18">
        <v>5800000</v>
      </c>
      <c r="R86" s="4"/>
    </row>
    <row r="87" spans="1:18" s="5" customFormat="1" x14ac:dyDescent="0.2">
      <c r="A87" s="13">
        <f t="shared" si="3"/>
        <v>29</v>
      </c>
      <c r="B87" s="19" t="s">
        <v>77</v>
      </c>
      <c r="C87" s="24">
        <v>8</v>
      </c>
      <c r="D87" s="16" t="s">
        <v>6</v>
      </c>
      <c r="E87" s="25"/>
      <c r="F87" s="16" t="s">
        <v>5</v>
      </c>
      <c r="G87" s="25"/>
      <c r="H87" s="25"/>
      <c r="I87" s="25"/>
      <c r="J87" s="16" t="s">
        <v>9</v>
      </c>
      <c r="K87" s="25"/>
      <c r="L87" s="25"/>
      <c r="M87" s="25"/>
      <c r="N87" s="25"/>
      <c r="O87" s="16" t="s">
        <v>9</v>
      </c>
      <c r="P87" s="17">
        <v>3500000</v>
      </c>
      <c r="Q87" s="18">
        <v>5800000</v>
      </c>
      <c r="R87" s="4"/>
    </row>
    <row r="88" spans="1:18" x14ac:dyDescent="0.2">
      <c r="A88" s="13">
        <f t="shared" si="3"/>
        <v>30</v>
      </c>
      <c r="B88" s="19" t="s">
        <v>91</v>
      </c>
      <c r="C88" s="24">
        <v>8</v>
      </c>
      <c r="D88" s="25"/>
      <c r="E88" s="25"/>
      <c r="F88" s="16" t="s">
        <v>24</v>
      </c>
      <c r="G88" s="25"/>
      <c r="H88" s="25"/>
      <c r="I88" s="25"/>
      <c r="J88" s="16" t="s">
        <v>8</v>
      </c>
      <c r="K88" s="25"/>
      <c r="L88" s="28" t="s">
        <v>0</v>
      </c>
      <c r="M88" s="25"/>
      <c r="N88" s="16" t="s">
        <v>5</v>
      </c>
      <c r="O88" s="25"/>
      <c r="P88" s="17">
        <v>3500000</v>
      </c>
      <c r="Q88" s="21">
        <v>5800000</v>
      </c>
    </row>
    <row r="89" spans="1:18" x14ac:dyDescent="0.2">
      <c r="A89" s="13">
        <f t="shared" si="3"/>
        <v>31</v>
      </c>
      <c r="B89" s="19" t="s">
        <v>92</v>
      </c>
      <c r="C89" s="24">
        <v>8</v>
      </c>
      <c r="D89" s="25"/>
      <c r="E89" s="25"/>
      <c r="F89" s="16" t="s">
        <v>24</v>
      </c>
      <c r="G89" s="25"/>
      <c r="H89" s="25"/>
      <c r="I89" s="16" t="s">
        <v>0</v>
      </c>
      <c r="J89" s="25"/>
      <c r="K89" s="25"/>
      <c r="L89" s="16" t="s">
        <v>9</v>
      </c>
      <c r="M89" s="25"/>
      <c r="N89" s="25"/>
      <c r="O89" s="16" t="s">
        <v>215</v>
      </c>
      <c r="P89" s="17">
        <v>3500000</v>
      </c>
      <c r="Q89" s="21">
        <v>5800000</v>
      </c>
    </row>
    <row r="90" spans="1:18" x14ac:dyDescent="0.2">
      <c r="A90" s="13">
        <f t="shared" si="3"/>
        <v>32</v>
      </c>
      <c r="B90" s="19" t="s">
        <v>93</v>
      </c>
      <c r="C90" s="24">
        <v>8</v>
      </c>
      <c r="D90" s="16" t="s">
        <v>6</v>
      </c>
      <c r="E90" s="25"/>
      <c r="F90" s="25"/>
      <c r="G90" s="16" t="s">
        <v>7</v>
      </c>
      <c r="H90" s="25"/>
      <c r="I90" s="25"/>
      <c r="J90" s="16" t="s">
        <v>6</v>
      </c>
      <c r="K90" s="25"/>
      <c r="L90" s="25"/>
      <c r="M90" s="16" t="s">
        <v>3</v>
      </c>
      <c r="N90" s="25"/>
      <c r="O90" s="25"/>
      <c r="P90" s="17">
        <v>3500000</v>
      </c>
      <c r="Q90" s="21">
        <v>5800000</v>
      </c>
    </row>
    <row r="91" spans="1:18" x14ac:dyDescent="0.2">
      <c r="A91" s="13">
        <f t="shared" si="3"/>
        <v>33</v>
      </c>
      <c r="B91" s="19" t="s">
        <v>94</v>
      </c>
      <c r="C91" s="24">
        <v>8</v>
      </c>
      <c r="D91" s="25"/>
      <c r="E91" s="16" t="s">
        <v>24</v>
      </c>
      <c r="F91" s="25"/>
      <c r="G91" s="26"/>
      <c r="H91" s="16" t="s">
        <v>4</v>
      </c>
      <c r="I91" s="25"/>
      <c r="J91" s="25"/>
      <c r="K91" s="16" t="s">
        <v>26</v>
      </c>
      <c r="L91" s="25"/>
      <c r="M91" s="25"/>
      <c r="N91" s="16" t="s">
        <v>5</v>
      </c>
      <c r="O91" s="25"/>
      <c r="P91" s="17">
        <v>3500000</v>
      </c>
      <c r="Q91" s="21">
        <v>5800000</v>
      </c>
    </row>
    <row r="92" spans="1:18" x14ac:dyDescent="0.2">
      <c r="A92" s="13">
        <f t="shared" si="3"/>
        <v>34</v>
      </c>
      <c r="B92" s="19" t="s">
        <v>95</v>
      </c>
      <c r="C92" s="24">
        <v>8</v>
      </c>
      <c r="D92" s="25"/>
      <c r="E92" s="16" t="s">
        <v>0</v>
      </c>
      <c r="F92" s="25"/>
      <c r="G92" s="25"/>
      <c r="H92" s="16" t="s">
        <v>26</v>
      </c>
      <c r="I92" s="25"/>
      <c r="J92" s="25"/>
      <c r="K92" s="16" t="s">
        <v>26</v>
      </c>
      <c r="L92" s="25"/>
      <c r="M92" s="25"/>
      <c r="N92" s="16" t="s">
        <v>5</v>
      </c>
      <c r="O92" s="25"/>
      <c r="P92" s="17">
        <v>3500000</v>
      </c>
      <c r="Q92" s="21">
        <v>5800000</v>
      </c>
    </row>
    <row r="93" spans="1:18" x14ac:dyDescent="0.2">
      <c r="A93" s="13">
        <f t="shared" si="3"/>
        <v>35</v>
      </c>
      <c r="B93" s="14" t="s">
        <v>170</v>
      </c>
      <c r="C93" s="33">
        <v>4</v>
      </c>
      <c r="D93" s="25"/>
      <c r="E93" s="29" t="s">
        <v>45</v>
      </c>
      <c r="F93" s="25"/>
      <c r="G93" s="25"/>
      <c r="H93" s="25"/>
      <c r="I93" s="29" t="s">
        <v>46</v>
      </c>
      <c r="J93" s="25"/>
      <c r="K93" s="25"/>
      <c r="L93" s="29" t="s">
        <v>50</v>
      </c>
      <c r="M93" s="25"/>
      <c r="N93" s="25"/>
      <c r="O93" s="29" t="s">
        <v>47</v>
      </c>
      <c r="P93" s="30">
        <v>2100000</v>
      </c>
      <c r="Q93" s="21">
        <v>2900000</v>
      </c>
    </row>
    <row r="94" spans="1:18" x14ac:dyDescent="0.2">
      <c r="A94" s="13">
        <f t="shared" si="3"/>
        <v>36</v>
      </c>
      <c r="B94" s="19" t="s">
        <v>97</v>
      </c>
      <c r="C94" s="24">
        <v>8</v>
      </c>
      <c r="D94" s="16" t="s">
        <v>8</v>
      </c>
      <c r="E94" s="25"/>
      <c r="F94" s="25"/>
      <c r="G94" s="16" t="s">
        <v>6</v>
      </c>
      <c r="H94" s="25"/>
      <c r="I94" s="25"/>
      <c r="J94" s="16" t="s">
        <v>6</v>
      </c>
      <c r="K94" s="25"/>
      <c r="L94" s="25"/>
      <c r="M94" s="16" t="s">
        <v>4</v>
      </c>
      <c r="N94" s="25"/>
      <c r="O94" s="25"/>
      <c r="P94" s="17">
        <v>3500000</v>
      </c>
      <c r="Q94" s="21">
        <v>5800000</v>
      </c>
    </row>
    <row r="95" spans="1:18" ht="24" x14ac:dyDescent="0.2">
      <c r="A95" s="13">
        <f t="shared" si="3"/>
        <v>37</v>
      </c>
      <c r="B95" s="14" t="s">
        <v>220</v>
      </c>
      <c r="C95" s="33">
        <v>8</v>
      </c>
      <c r="D95" s="25"/>
      <c r="E95" s="16" t="s">
        <v>24</v>
      </c>
      <c r="F95" s="25"/>
      <c r="G95" s="26"/>
      <c r="H95" s="16" t="s">
        <v>26</v>
      </c>
      <c r="I95" s="25"/>
      <c r="J95" s="25"/>
      <c r="K95" s="16" t="s">
        <v>24</v>
      </c>
      <c r="L95" s="25"/>
      <c r="M95" s="25"/>
      <c r="N95" s="16" t="s">
        <v>26</v>
      </c>
      <c r="O95" s="25"/>
      <c r="P95" s="17">
        <v>3500000</v>
      </c>
      <c r="Q95" s="21">
        <v>5800000</v>
      </c>
    </row>
    <row r="96" spans="1:18" x14ac:dyDescent="0.2">
      <c r="A96" s="13">
        <f t="shared" si="3"/>
        <v>38</v>
      </c>
      <c r="B96" s="19" t="s">
        <v>84</v>
      </c>
      <c r="C96" s="24">
        <v>8</v>
      </c>
      <c r="D96" s="25"/>
      <c r="E96" s="25"/>
      <c r="F96" s="16" t="s">
        <v>5</v>
      </c>
      <c r="G96" s="25"/>
      <c r="H96" s="25"/>
      <c r="I96" s="16" t="s">
        <v>5</v>
      </c>
      <c r="J96" s="25"/>
      <c r="K96" s="25"/>
      <c r="L96" s="16" t="s">
        <v>9</v>
      </c>
      <c r="M96" s="25"/>
      <c r="N96" s="25"/>
      <c r="O96" s="16" t="s">
        <v>215</v>
      </c>
      <c r="P96" s="17">
        <v>3500000</v>
      </c>
      <c r="Q96" s="21">
        <v>5800000</v>
      </c>
    </row>
    <row r="97" spans="1:17" x14ac:dyDescent="0.2">
      <c r="A97" s="13">
        <f t="shared" si="3"/>
        <v>39</v>
      </c>
      <c r="B97" s="19" t="s">
        <v>100</v>
      </c>
      <c r="C97" s="24">
        <v>8</v>
      </c>
      <c r="D97" s="25"/>
      <c r="E97" s="25"/>
      <c r="F97" s="16" t="s">
        <v>26</v>
      </c>
      <c r="G97" s="25"/>
      <c r="H97" s="25"/>
      <c r="I97" s="16" t="s">
        <v>15</v>
      </c>
      <c r="J97" s="25"/>
      <c r="K97" s="25"/>
      <c r="L97" s="16" t="s">
        <v>215</v>
      </c>
      <c r="M97" s="25"/>
      <c r="N97" s="25"/>
      <c r="O97" s="16" t="s">
        <v>9</v>
      </c>
      <c r="P97" s="17">
        <v>3500000</v>
      </c>
      <c r="Q97" s="21">
        <v>5800000</v>
      </c>
    </row>
    <row r="98" spans="1:17" x14ac:dyDescent="0.2">
      <c r="A98" s="13">
        <f t="shared" si="3"/>
        <v>40</v>
      </c>
      <c r="B98" s="19" t="s">
        <v>168</v>
      </c>
      <c r="C98" s="24">
        <v>8</v>
      </c>
      <c r="D98" s="16" t="s">
        <v>6</v>
      </c>
      <c r="E98" s="25"/>
      <c r="F98" s="16" t="s">
        <v>5</v>
      </c>
      <c r="G98" s="25"/>
      <c r="H98" s="25"/>
      <c r="I98" s="25"/>
      <c r="J98" s="16" t="s">
        <v>9</v>
      </c>
      <c r="K98" s="25"/>
      <c r="L98" s="25"/>
      <c r="M98" s="25"/>
      <c r="N98" s="25"/>
      <c r="O98" s="16" t="s">
        <v>9</v>
      </c>
      <c r="P98" s="17">
        <v>3500000</v>
      </c>
      <c r="Q98" s="21">
        <v>5800000</v>
      </c>
    </row>
    <row r="99" spans="1:17" x14ac:dyDescent="0.2">
      <c r="A99" s="13">
        <f t="shared" si="3"/>
        <v>41</v>
      </c>
      <c r="B99" s="19" t="s">
        <v>88</v>
      </c>
      <c r="C99" s="24">
        <v>8</v>
      </c>
      <c r="D99" s="16" t="s">
        <v>9</v>
      </c>
      <c r="E99" s="25"/>
      <c r="F99" s="16" t="s">
        <v>26</v>
      </c>
      <c r="G99" s="31"/>
      <c r="H99" s="31"/>
      <c r="I99" s="16" t="s">
        <v>0</v>
      </c>
      <c r="J99" s="31"/>
      <c r="K99" s="31"/>
      <c r="L99" s="16" t="s">
        <v>215</v>
      </c>
      <c r="M99" s="31"/>
      <c r="N99" s="31"/>
      <c r="O99" s="16" t="s">
        <v>15</v>
      </c>
      <c r="P99" s="17">
        <v>3500000</v>
      </c>
      <c r="Q99" s="21">
        <v>5800000</v>
      </c>
    </row>
    <row r="100" spans="1:17" x14ac:dyDescent="0.2">
      <c r="A100" s="12"/>
      <c r="B100" s="53" t="s">
        <v>102</v>
      </c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8"/>
    </row>
    <row r="101" spans="1:17" x14ac:dyDescent="0.2">
      <c r="A101" s="23">
        <v>1</v>
      </c>
      <c r="B101" s="19" t="s">
        <v>103</v>
      </c>
      <c r="C101" s="24">
        <v>8</v>
      </c>
      <c r="D101" s="25"/>
      <c r="E101" s="16" t="s">
        <v>26</v>
      </c>
      <c r="F101" s="25"/>
      <c r="G101" s="26"/>
      <c r="H101" s="16" t="s">
        <v>10</v>
      </c>
      <c r="I101" s="25"/>
      <c r="J101" s="16" t="s">
        <v>8</v>
      </c>
      <c r="K101" s="25"/>
      <c r="L101" s="25"/>
      <c r="M101" s="16" t="s">
        <v>3</v>
      </c>
      <c r="N101" s="25"/>
      <c r="O101" s="25"/>
      <c r="P101" s="17">
        <v>3500000</v>
      </c>
      <c r="Q101" s="34">
        <v>5800000</v>
      </c>
    </row>
    <row r="102" spans="1:17" x14ac:dyDescent="0.2">
      <c r="A102" s="23">
        <f t="shared" ref="A102:A126" si="4">A101+1</f>
        <v>2</v>
      </c>
      <c r="B102" s="19" t="s">
        <v>11</v>
      </c>
      <c r="C102" s="24">
        <v>8</v>
      </c>
      <c r="D102" s="25"/>
      <c r="E102" s="25"/>
      <c r="F102" s="16" t="s">
        <v>24</v>
      </c>
      <c r="G102" s="25"/>
      <c r="H102" s="25"/>
      <c r="I102" s="16" t="s">
        <v>0</v>
      </c>
      <c r="J102" s="25"/>
      <c r="K102" s="25"/>
      <c r="L102" s="16" t="s">
        <v>6</v>
      </c>
      <c r="M102" s="25"/>
      <c r="N102" s="25"/>
      <c r="O102" s="16" t="s">
        <v>215</v>
      </c>
      <c r="P102" s="17">
        <v>3500000</v>
      </c>
      <c r="Q102" s="34">
        <v>5800000</v>
      </c>
    </row>
    <row r="103" spans="1:17" x14ac:dyDescent="0.2">
      <c r="A103" s="23">
        <f t="shared" si="4"/>
        <v>3</v>
      </c>
      <c r="B103" s="19" t="s">
        <v>104</v>
      </c>
      <c r="C103" s="24">
        <v>8</v>
      </c>
      <c r="D103" s="16" t="s">
        <v>6</v>
      </c>
      <c r="E103" s="25"/>
      <c r="F103" s="16" t="s">
        <v>26</v>
      </c>
      <c r="G103" s="31"/>
      <c r="H103" s="31"/>
      <c r="I103" s="16" t="s">
        <v>0</v>
      </c>
      <c r="J103" s="31"/>
      <c r="K103" s="31"/>
      <c r="L103" s="16" t="s">
        <v>215</v>
      </c>
      <c r="M103" s="25"/>
      <c r="N103" s="16" t="s">
        <v>0</v>
      </c>
      <c r="O103" s="25"/>
      <c r="P103" s="17">
        <v>3500000</v>
      </c>
      <c r="Q103" s="34">
        <v>5800000</v>
      </c>
    </row>
    <row r="104" spans="1:17" x14ac:dyDescent="0.2">
      <c r="A104" s="23">
        <f t="shared" si="4"/>
        <v>4</v>
      </c>
      <c r="B104" s="19" t="s">
        <v>105</v>
      </c>
      <c r="C104" s="24">
        <v>8</v>
      </c>
      <c r="D104" s="25"/>
      <c r="E104" s="16" t="s">
        <v>24</v>
      </c>
      <c r="F104" s="25"/>
      <c r="G104" s="26"/>
      <c r="H104" s="16" t="s">
        <v>26</v>
      </c>
      <c r="I104" s="25"/>
      <c r="J104" s="25"/>
      <c r="K104" s="16" t="s">
        <v>24</v>
      </c>
      <c r="L104" s="25"/>
      <c r="M104" s="16" t="s">
        <v>26</v>
      </c>
      <c r="N104" s="25"/>
      <c r="O104" s="25"/>
      <c r="P104" s="17">
        <v>3500000</v>
      </c>
      <c r="Q104" s="34">
        <v>5800000</v>
      </c>
    </row>
    <row r="105" spans="1:17" x14ac:dyDescent="0.2">
      <c r="A105" s="23">
        <f t="shared" si="4"/>
        <v>5</v>
      </c>
      <c r="B105" s="19" t="s">
        <v>106</v>
      </c>
      <c r="C105" s="24">
        <v>8</v>
      </c>
      <c r="D105" s="16" t="s">
        <v>8</v>
      </c>
      <c r="E105" s="16" t="s">
        <v>5</v>
      </c>
      <c r="F105" s="25"/>
      <c r="G105" s="25"/>
      <c r="H105" s="16" t="s">
        <v>201</v>
      </c>
      <c r="I105" s="25"/>
      <c r="J105" s="25"/>
      <c r="K105" s="16" t="s">
        <v>26</v>
      </c>
      <c r="L105" s="25"/>
      <c r="M105" s="25"/>
      <c r="N105" s="25"/>
      <c r="O105" s="16" t="s">
        <v>9</v>
      </c>
      <c r="P105" s="17">
        <v>3500000</v>
      </c>
      <c r="Q105" s="34">
        <v>5800000</v>
      </c>
    </row>
    <row r="106" spans="1:17" x14ac:dyDescent="0.2">
      <c r="A106" s="23">
        <f t="shared" si="4"/>
        <v>6</v>
      </c>
      <c r="B106" s="19" t="s">
        <v>107</v>
      </c>
      <c r="C106" s="24">
        <v>8</v>
      </c>
      <c r="D106" s="16" t="s">
        <v>6</v>
      </c>
      <c r="E106" s="25"/>
      <c r="F106" s="16" t="s">
        <v>24</v>
      </c>
      <c r="G106" s="25"/>
      <c r="H106" s="25"/>
      <c r="I106" s="25"/>
      <c r="J106" s="16" t="s">
        <v>8</v>
      </c>
      <c r="K106" s="25"/>
      <c r="L106" s="28" t="s">
        <v>0</v>
      </c>
      <c r="M106" s="31"/>
      <c r="N106" s="31"/>
      <c r="O106" s="16" t="s">
        <v>215</v>
      </c>
      <c r="P106" s="17">
        <v>3500000</v>
      </c>
      <c r="Q106" s="34">
        <v>5800000</v>
      </c>
    </row>
    <row r="107" spans="1:17" x14ac:dyDescent="0.2">
      <c r="A107" s="23">
        <f t="shared" si="4"/>
        <v>7</v>
      </c>
      <c r="B107" s="19" t="s">
        <v>182</v>
      </c>
      <c r="C107" s="24">
        <v>8</v>
      </c>
      <c r="D107" s="25"/>
      <c r="E107" s="25"/>
      <c r="F107" s="16" t="s">
        <v>24</v>
      </c>
      <c r="G107" s="25"/>
      <c r="H107" s="25"/>
      <c r="I107" s="16" t="s">
        <v>0</v>
      </c>
      <c r="J107" s="25"/>
      <c r="K107" s="25"/>
      <c r="L107" s="16" t="s">
        <v>6</v>
      </c>
      <c r="M107" s="16" t="s">
        <v>4</v>
      </c>
      <c r="N107" s="25"/>
      <c r="O107" s="25"/>
      <c r="P107" s="17">
        <v>3500000</v>
      </c>
      <c r="Q107" s="34">
        <v>5800000</v>
      </c>
    </row>
    <row r="108" spans="1:17" x14ac:dyDescent="0.2">
      <c r="A108" s="23">
        <f t="shared" si="4"/>
        <v>8</v>
      </c>
      <c r="B108" s="19" t="s">
        <v>108</v>
      </c>
      <c r="C108" s="24">
        <v>8</v>
      </c>
      <c r="D108" s="25"/>
      <c r="E108" s="25"/>
      <c r="F108" s="25"/>
      <c r="G108" s="16" t="s">
        <v>7</v>
      </c>
      <c r="H108" s="25"/>
      <c r="I108" s="25"/>
      <c r="J108" s="16" t="s">
        <v>6</v>
      </c>
      <c r="K108" s="25"/>
      <c r="L108" s="25"/>
      <c r="M108" s="16" t="s">
        <v>4</v>
      </c>
      <c r="N108" s="25"/>
      <c r="O108" s="25"/>
      <c r="P108" s="17">
        <v>3500000</v>
      </c>
      <c r="Q108" s="34">
        <v>5800000</v>
      </c>
    </row>
    <row r="109" spans="1:17" x14ac:dyDescent="0.2">
      <c r="A109" s="23">
        <f t="shared" si="4"/>
        <v>9</v>
      </c>
      <c r="B109" s="19" t="s">
        <v>109</v>
      </c>
      <c r="C109" s="24">
        <v>8</v>
      </c>
      <c r="D109" s="25"/>
      <c r="E109" s="16" t="s">
        <v>24</v>
      </c>
      <c r="F109" s="25"/>
      <c r="G109" s="26"/>
      <c r="H109" s="16" t="s">
        <v>4</v>
      </c>
      <c r="I109" s="25"/>
      <c r="J109" s="25"/>
      <c r="K109" s="16" t="s">
        <v>26</v>
      </c>
      <c r="L109" s="25"/>
      <c r="M109" s="25"/>
      <c r="N109" s="25"/>
      <c r="O109" s="16" t="s">
        <v>9</v>
      </c>
      <c r="P109" s="17">
        <v>3500000</v>
      </c>
      <c r="Q109" s="34">
        <v>5800000</v>
      </c>
    </row>
    <row r="110" spans="1:17" x14ac:dyDescent="0.2">
      <c r="A110" s="23">
        <f t="shared" si="4"/>
        <v>10</v>
      </c>
      <c r="B110" s="19" t="s">
        <v>110</v>
      </c>
      <c r="C110" s="24">
        <v>8</v>
      </c>
      <c r="D110" s="16" t="s">
        <v>4</v>
      </c>
      <c r="E110" s="16" t="s">
        <v>0</v>
      </c>
      <c r="F110" s="25"/>
      <c r="G110" s="25"/>
      <c r="H110" s="16" t="s">
        <v>26</v>
      </c>
      <c r="I110" s="25"/>
      <c r="J110" s="25"/>
      <c r="K110" s="16" t="s">
        <v>26</v>
      </c>
      <c r="L110" s="25"/>
      <c r="M110" s="16" t="s">
        <v>4</v>
      </c>
      <c r="N110" s="25"/>
      <c r="O110" s="25"/>
      <c r="P110" s="17">
        <v>3500000</v>
      </c>
      <c r="Q110" s="34">
        <v>5800000</v>
      </c>
    </row>
    <row r="111" spans="1:17" x14ac:dyDescent="0.2">
      <c r="A111" s="23">
        <f t="shared" si="4"/>
        <v>11</v>
      </c>
      <c r="B111" s="19" t="s">
        <v>111</v>
      </c>
      <c r="C111" s="24">
        <v>8</v>
      </c>
      <c r="D111" s="25"/>
      <c r="E111" s="25"/>
      <c r="F111" s="25"/>
      <c r="G111" s="16" t="s">
        <v>8</v>
      </c>
      <c r="H111" s="25"/>
      <c r="I111" s="25"/>
      <c r="J111" s="16" t="s">
        <v>9</v>
      </c>
      <c r="K111" s="25"/>
      <c r="L111" s="25"/>
      <c r="M111" s="25"/>
      <c r="N111" s="25"/>
      <c r="O111" s="16" t="s">
        <v>9</v>
      </c>
      <c r="P111" s="17">
        <v>3500000</v>
      </c>
      <c r="Q111" s="34">
        <v>5800000</v>
      </c>
    </row>
    <row r="112" spans="1:17" x14ac:dyDescent="0.2">
      <c r="A112" s="23">
        <f t="shared" si="4"/>
        <v>12</v>
      </c>
      <c r="B112" s="19" t="s">
        <v>112</v>
      </c>
      <c r="C112" s="24">
        <v>8</v>
      </c>
      <c r="D112" s="25"/>
      <c r="E112" s="25"/>
      <c r="F112" s="16" t="s">
        <v>5</v>
      </c>
      <c r="G112" s="25"/>
      <c r="H112" s="25"/>
      <c r="I112" s="16" t="s">
        <v>5</v>
      </c>
      <c r="J112" s="25"/>
      <c r="K112" s="25"/>
      <c r="L112" s="16" t="s">
        <v>9</v>
      </c>
      <c r="M112" s="16" t="s">
        <v>4</v>
      </c>
      <c r="N112" s="25"/>
      <c r="O112" s="25"/>
      <c r="P112" s="17">
        <v>3500000</v>
      </c>
      <c r="Q112" s="34">
        <v>5800000</v>
      </c>
    </row>
    <row r="113" spans="1:17" x14ac:dyDescent="0.2">
      <c r="A113" s="23">
        <f t="shared" si="4"/>
        <v>13</v>
      </c>
      <c r="B113" s="19" t="s">
        <v>113</v>
      </c>
      <c r="C113" s="24">
        <v>8</v>
      </c>
      <c r="D113" s="16" t="s">
        <v>6</v>
      </c>
      <c r="E113" s="25"/>
      <c r="F113" s="25"/>
      <c r="G113" s="16" t="s">
        <v>6</v>
      </c>
      <c r="H113" s="25"/>
      <c r="I113" s="25"/>
      <c r="J113" s="16" t="s">
        <v>6</v>
      </c>
      <c r="K113" s="25"/>
      <c r="L113" s="25"/>
      <c r="M113" s="25"/>
      <c r="N113" s="25"/>
      <c r="O113" s="16" t="s">
        <v>215</v>
      </c>
      <c r="P113" s="17">
        <v>3500000</v>
      </c>
      <c r="Q113" s="34">
        <v>5800000</v>
      </c>
    </row>
    <row r="114" spans="1:17" x14ac:dyDescent="0.2">
      <c r="A114" s="23">
        <f t="shared" si="4"/>
        <v>14</v>
      </c>
      <c r="B114" s="19" t="s">
        <v>114</v>
      </c>
      <c r="C114" s="24">
        <v>8</v>
      </c>
      <c r="D114" s="25"/>
      <c r="E114" s="25"/>
      <c r="F114" s="16" t="s">
        <v>5</v>
      </c>
      <c r="G114" s="25"/>
      <c r="H114" s="25"/>
      <c r="I114" s="25"/>
      <c r="J114" s="16" t="s">
        <v>6</v>
      </c>
      <c r="K114" s="25"/>
      <c r="L114" s="25"/>
      <c r="M114" s="16" t="s">
        <v>4</v>
      </c>
      <c r="N114" s="25"/>
      <c r="O114" s="25"/>
      <c r="P114" s="17">
        <v>3500000</v>
      </c>
      <c r="Q114" s="34">
        <v>5800000</v>
      </c>
    </row>
    <row r="115" spans="1:17" x14ac:dyDescent="0.2">
      <c r="A115" s="23">
        <f t="shared" si="4"/>
        <v>15</v>
      </c>
      <c r="B115" s="19" t="s">
        <v>115</v>
      </c>
      <c r="C115" s="24">
        <v>8</v>
      </c>
      <c r="D115" s="16" t="s">
        <v>6</v>
      </c>
      <c r="E115" s="25"/>
      <c r="F115" s="16" t="s">
        <v>0</v>
      </c>
      <c r="G115" s="25"/>
      <c r="H115" s="25"/>
      <c r="I115" s="16" t="s">
        <v>0</v>
      </c>
      <c r="J115" s="25"/>
      <c r="K115" s="25"/>
      <c r="L115" s="28" t="s">
        <v>9</v>
      </c>
      <c r="M115" s="25"/>
      <c r="N115" s="25"/>
      <c r="O115" s="16" t="s">
        <v>9</v>
      </c>
      <c r="P115" s="17">
        <v>3500000</v>
      </c>
      <c r="Q115" s="34">
        <v>5800000</v>
      </c>
    </row>
    <row r="116" spans="1:17" x14ac:dyDescent="0.2">
      <c r="A116" s="23">
        <f t="shared" si="4"/>
        <v>16</v>
      </c>
      <c r="B116" s="19" t="s">
        <v>222</v>
      </c>
      <c r="C116" s="24">
        <v>8</v>
      </c>
      <c r="D116" s="16" t="s">
        <v>4</v>
      </c>
      <c r="E116" s="25"/>
      <c r="F116" s="16" t="s">
        <v>26</v>
      </c>
      <c r="G116" s="25"/>
      <c r="H116" s="25"/>
      <c r="I116" s="16" t="s">
        <v>15</v>
      </c>
      <c r="J116" s="25"/>
      <c r="K116" s="25"/>
      <c r="L116" s="16" t="s">
        <v>215</v>
      </c>
      <c r="M116" s="25"/>
      <c r="N116" s="25"/>
      <c r="O116" s="16" t="s">
        <v>215</v>
      </c>
      <c r="P116" s="17">
        <v>3500000</v>
      </c>
      <c r="Q116" s="34">
        <v>5800000</v>
      </c>
    </row>
    <row r="117" spans="1:17" x14ac:dyDescent="0.2">
      <c r="A117" s="23">
        <f t="shared" si="4"/>
        <v>17</v>
      </c>
      <c r="B117" s="19" t="s">
        <v>116</v>
      </c>
      <c r="C117" s="24">
        <v>4</v>
      </c>
      <c r="D117" s="25"/>
      <c r="E117" s="25"/>
      <c r="F117" s="25"/>
      <c r="G117" s="16" t="s">
        <v>47</v>
      </c>
      <c r="H117" s="25"/>
      <c r="I117" s="25"/>
      <c r="J117" s="25"/>
      <c r="K117" s="16" t="s">
        <v>45</v>
      </c>
      <c r="L117" s="25"/>
      <c r="M117" s="25"/>
      <c r="N117" s="25"/>
      <c r="O117" s="16" t="s">
        <v>47</v>
      </c>
      <c r="P117" s="30">
        <v>2100000</v>
      </c>
      <c r="Q117" s="34">
        <v>2900000</v>
      </c>
    </row>
    <row r="118" spans="1:17" x14ac:dyDescent="0.2">
      <c r="A118" s="23">
        <f t="shared" si="4"/>
        <v>18</v>
      </c>
      <c r="B118" s="19" t="s">
        <v>117</v>
      </c>
      <c r="C118" s="24">
        <v>8</v>
      </c>
      <c r="D118" s="16" t="s">
        <v>6</v>
      </c>
      <c r="E118" s="25"/>
      <c r="F118" s="25"/>
      <c r="G118" s="16" t="s">
        <v>8</v>
      </c>
      <c r="H118" s="25"/>
      <c r="I118" s="25"/>
      <c r="J118" s="16" t="s">
        <v>8</v>
      </c>
      <c r="K118" s="25"/>
      <c r="L118" s="25"/>
      <c r="M118" s="25"/>
      <c r="N118" s="16" t="s">
        <v>15</v>
      </c>
      <c r="O118" s="25"/>
      <c r="P118" s="17">
        <v>3500000</v>
      </c>
      <c r="Q118" s="34">
        <v>5800000</v>
      </c>
    </row>
    <row r="119" spans="1:17" x14ac:dyDescent="0.2">
      <c r="A119" s="23">
        <f t="shared" si="4"/>
        <v>19</v>
      </c>
      <c r="B119" s="19" t="s">
        <v>118</v>
      </c>
      <c r="C119" s="24">
        <v>8</v>
      </c>
      <c r="D119" s="16" t="s">
        <v>6</v>
      </c>
      <c r="E119" s="25"/>
      <c r="F119" s="25"/>
      <c r="G119" s="16" t="s">
        <v>6</v>
      </c>
      <c r="H119" s="25"/>
      <c r="I119" s="25"/>
      <c r="J119" s="16" t="s">
        <v>6</v>
      </c>
      <c r="K119" s="25"/>
      <c r="L119" s="25"/>
      <c r="M119" s="16" t="s">
        <v>6</v>
      </c>
      <c r="N119" s="25"/>
      <c r="O119" s="25"/>
      <c r="P119" s="17">
        <v>3500000</v>
      </c>
      <c r="Q119" s="34">
        <v>5800000</v>
      </c>
    </row>
    <row r="120" spans="1:17" x14ac:dyDescent="0.2">
      <c r="A120" s="23">
        <f t="shared" si="4"/>
        <v>20</v>
      </c>
      <c r="B120" s="19" t="s">
        <v>119</v>
      </c>
      <c r="C120" s="24">
        <v>8</v>
      </c>
      <c r="D120" s="16" t="s">
        <v>4</v>
      </c>
      <c r="E120" s="25"/>
      <c r="F120" s="25"/>
      <c r="G120" s="16" t="s">
        <v>8</v>
      </c>
      <c r="H120" s="25"/>
      <c r="I120" s="25"/>
      <c r="J120" s="16" t="s">
        <v>9</v>
      </c>
      <c r="K120" s="25"/>
      <c r="L120" s="25"/>
      <c r="M120" s="16" t="s">
        <v>6</v>
      </c>
      <c r="N120" s="25"/>
      <c r="O120" s="25"/>
      <c r="P120" s="17">
        <v>3500000</v>
      </c>
      <c r="Q120" s="34">
        <v>5800000</v>
      </c>
    </row>
    <row r="121" spans="1:17" x14ac:dyDescent="0.2">
      <c r="A121" s="23">
        <f t="shared" si="4"/>
        <v>21</v>
      </c>
      <c r="B121" s="19" t="s">
        <v>120</v>
      </c>
      <c r="C121" s="24">
        <v>8</v>
      </c>
      <c r="D121" s="25"/>
      <c r="E121" s="16" t="s">
        <v>24</v>
      </c>
      <c r="F121" s="25"/>
      <c r="G121" s="26"/>
      <c r="H121" s="16" t="s">
        <v>26</v>
      </c>
      <c r="I121" s="25"/>
      <c r="J121" s="16" t="s">
        <v>6</v>
      </c>
      <c r="K121" s="25"/>
      <c r="L121" s="25"/>
      <c r="M121" s="16" t="s">
        <v>4</v>
      </c>
      <c r="N121" s="25"/>
      <c r="O121" s="25"/>
      <c r="P121" s="17">
        <v>3500000</v>
      </c>
      <c r="Q121" s="34">
        <v>5800000</v>
      </c>
    </row>
    <row r="122" spans="1:17" x14ac:dyDescent="0.2">
      <c r="A122" s="23">
        <f t="shared" si="4"/>
        <v>22</v>
      </c>
      <c r="B122" s="19" t="s">
        <v>121</v>
      </c>
      <c r="C122" s="24">
        <v>8</v>
      </c>
      <c r="D122" s="16" t="s">
        <v>6</v>
      </c>
      <c r="E122" s="25"/>
      <c r="F122" s="16" t="s">
        <v>26</v>
      </c>
      <c r="G122" s="31"/>
      <c r="H122" s="31"/>
      <c r="I122" s="32" t="s">
        <v>5</v>
      </c>
      <c r="J122" s="31"/>
      <c r="K122" s="31"/>
      <c r="L122" s="28" t="s">
        <v>9</v>
      </c>
      <c r="M122" s="31"/>
      <c r="N122" s="31"/>
      <c r="O122" s="16" t="s">
        <v>9</v>
      </c>
      <c r="P122" s="17">
        <v>3500000</v>
      </c>
      <c r="Q122" s="34">
        <v>5800000</v>
      </c>
    </row>
    <row r="123" spans="1:17" x14ac:dyDescent="0.2">
      <c r="A123" s="23">
        <f t="shared" si="4"/>
        <v>23</v>
      </c>
      <c r="B123" s="19" t="s">
        <v>122</v>
      </c>
      <c r="C123" s="24">
        <v>8</v>
      </c>
      <c r="D123" s="16" t="s">
        <v>6</v>
      </c>
      <c r="E123" s="25"/>
      <c r="F123" s="25"/>
      <c r="G123" s="16" t="s">
        <v>7</v>
      </c>
      <c r="H123" s="25"/>
      <c r="I123" s="25"/>
      <c r="J123" s="16" t="s">
        <v>6</v>
      </c>
      <c r="K123" s="25"/>
      <c r="L123" s="25"/>
      <c r="M123" s="16" t="s">
        <v>3</v>
      </c>
      <c r="N123" s="25"/>
      <c r="O123" s="25"/>
      <c r="P123" s="17">
        <v>3500000</v>
      </c>
      <c r="Q123" s="34">
        <v>5800000</v>
      </c>
    </row>
    <row r="124" spans="1:17" x14ac:dyDescent="0.2">
      <c r="A124" s="23">
        <f t="shared" si="4"/>
        <v>24</v>
      </c>
      <c r="B124" s="19" t="s">
        <v>123</v>
      </c>
      <c r="C124" s="24">
        <v>8</v>
      </c>
      <c r="D124" s="25"/>
      <c r="E124" s="16" t="s">
        <v>24</v>
      </c>
      <c r="F124" s="25"/>
      <c r="G124" s="26"/>
      <c r="H124" s="16" t="s">
        <v>4</v>
      </c>
      <c r="I124" s="25"/>
      <c r="J124" s="25"/>
      <c r="K124" s="16" t="s">
        <v>26</v>
      </c>
      <c r="L124" s="25"/>
      <c r="M124" s="25"/>
      <c r="N124" s="16" t="s">
        <v>5</v>
      </c>
      <c r="O124" s="25"/>
      <c r="P124" s="17">
        <v>3500000</v>
      </c>
      <c r="Q124" s="34">
        <v>5800000</v>
      </c>
    </row>
    <row r="125" spans="1:17" x14ac:dyDescent="0.2">
      <c r="A125" s="23">
        <f t="shared" si="4"/>
        <v>25</v>
      </c>
      <c r="B125" s="19" t="s">
        <v>124</v>
      </c>
      <c r="C125" s="24">
        <v>8</v>
      </c>
      <c r="D125" s="25"/>
      <c r="E125" s="16" t="s">
        <v>0</v>
      </c>
      <c r="F125" s="25"/>
      <c r="G125" s="25"/>
      <c r="H125" s="16" t="s">
        <v>26</v>
      </c>
      <c r="I125" s="25"/>
      <c r="J125" s="25"/>
      <c r="K125" s="16" t="s">
        <v>26</v>
      </c>
      <c r="L125" s="25"/>
      <c r="M125" s="25"/>
      <c r="N125" s="16" t="s">
        <v>5</v>
      </c>
      <c r="O125" s="25"/>
      <c r="P125" s="17">
        <v>3500000</v>
      </c>
      <c r="Q125" s="34">
        <v>5800000</v>
      </c>
    </row>
    <row r="126" spans="1:17" x14ac:dyDescent="0.2">
      <c r="A126" s="23">
        <f t="shared" si="4"/>
        <v>26</v>
      </c>
      <c r="B126" s="19" t="s">
        <v>125</v>
      </c>
      <c r="C126" s="24">
        <v>8</v>
      </c>
      <c r="D126" s="16" t="s">
        <v>6</v>
      </c>
      <c r="E126" s="25"/>
      <c r="F126" s="25"/>
      <c r="G126" s="16" t="s">
        <v>8</v>
      </c>
      <c r="H126" s="25"/>
      <c r="I126" s="25"/>
      <c r="J126" s="16" t="s">
        <v>9</v>
      </c>
      <c r="K126" s="25"/>
      <c r="L126" s="25"/>
      <c r="M126" s="16" t="s">
        <v>4</v>
      </c>
      <c r="N126" s="25"/>
      <c r="O126" s="25"/>
      <c r="P126" s="17">
        <v>3500000</v>
      </c>
      <c r="Q126" s="34">
        <v>5800000</v>
      </c>
    </row>
    <row r="127" spans="1:17" x14ac:dyDescent="0.2">
      <c r="A127" s="12"/>
      <c r="B127" s="53" t="s">
        <v>126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5"/>
    </row>
    <row r="128" spans="1:17" x14ac:dyDescent="0.2">
      <c r="A128" s="23">
        <v>1</v>
      </c>
      <c r="B128" s="19" t="s">
        <v>127</v>
      </c>
      <c r="C128" s="24">
        <v>8</v>
      </c>
      <c r="D128" s="16" t="s">
        <v>6</v>
      </c>
      <c r="E128" s="25"/>
      <c r="F128" s="25"/>
      <c r="G128" s="16" t="s">
        <v>6</v>
      </c>
      <c r="H128" s="25"/>
      <c r="I128" s="25"/>
      <c r="J128" s="16" t="s">
        <v>6</v>
      </c>
      <c r="K128" s="25"/>
      <c r="L128" s="25"/>
      <c r="M128" s="25"/>
      <c r="N128" s="25"/>
      <c r="O128" s="16" t="s">
        <v>215</v>
      </c>
      <c r="P128" s="17">
        <v>3500000</v>
      </c>
      <c r="Q128" s="34">
        <v>5800000</v>
      </c>
    </row>
    <row r="129" spans="1:18" x14ac:dyDescent="0.2">
      <c r="A129" s="23">
        <f t="shared" ref="A129:A135" si="5">A128+1</f>
        <v>2</v>
      </c>
      <c r="B129" s="19" t="s">
        <v>128</v>
      </c>
      <c r="C129" s="24">
        <v>8</v>
      </c>
      <c r="D129" s="25"/>
      <c r="E129" s="25"/>
      <c r="F129" s="16" t="s">
        <v>5</v>
      </c>
      <c r="G129" s="25"/>
      <c r="H129" s="25"/>
      <c r="I129" s="25"/>
      <c r="J129" s="16" t="s">
        <v>6</v>
      </c>
      <c r="K129" s="25"/>
      <c r="L129" s="25"/>
      <c r="M129" s="16" t="s">
        <v>4</v>
      </c>
      <c r="N129" s="25"/>
      <c r="O129" s="25"/>
      <c r="P129" s="17">
        <v>3500000</v>
      </c>
      <c r="Q129" s="34">
        <v>5800000</v>
      </c>
    </row>
    <row r="130" spans="1:18" x14ac:dyDescent="0.2">
      <c r="A130" s="23">
        <f t="shared" si="5"/>
        <v>3</v>
      </c>
      <c r="B130" s="19" t="s">
        <v>129</v>
      </c>
      <c r="C130" s="24">
        <v>8</v>
      </c>
      <c r="D130" s="16" t="s">
        <v>6</v>
      </c>
      <c r="E130" s="25"/>
      <c r="F130" s="16" t="s">
        <v>0</v>
      </c>
      <c r="G130" s="25"/>
      <c r="H130" s="25"/>
      <c r="I130" s="16" t="s">
        <v>0</v>
      </c>
      <c r="J130" s="25"/>
      <c r="K130" s="25"/>
      <c r="L130" s="28" t="s">
        <v>9</v>
      </c>
      <c r="M130" s="25"/>
      <c r="N130" s="25"/>
      <c r="O130" s="16" t="s">
        <v>9</v>
      </c>
      <c r="P130" s="17">
        <v>3500000</v>
      </c>
      <c r="Q130" s="34">
        <v>5800000</v>
      </c>
    </row>
    <row r="131" spans="1:18" x14ac:dyDescent="0.2">
      <c r="A131" s="23">
        <f t="shared" si="5"/>
        <v>4</v>
      </c>
      <c r="B131" s="19" t="s">
        <v>130</v>
      </c>
      <c r="C131" s="24">
        <v>8</v>
      </c>
      <c r="D131" s="16" t="s">
        <v>4</v>
      </c>
      <c r="E131" s="25"/>
      <c r="F131" s="16" t="s">
        <v>26</v>
      </c>
      <c r="G131" s="25"/>
      <c r="H131" s="25"/>
      <c r="I131" s="16" t="s">
        <v>15</v>
      </c>
      <c r="J131" s="25"/>
      <c r="K131" s="25"/>
      <c r="L131" s="16" t="s">
        <v>215</v>
      </c>
      <c r="M131" s="25"/>
      <c r="N131" s="25"/>
      <c r="O131" s="16" t="s">
        <v>215</v>
      </c>
      <c r="P131" s="17">
        <v>3500000</v>
      </c>
      <c r="Q131" s="34">
        <v>5800000</v>
      </c>
    </row>
    <row r="132" spans="1:18" x14ac:dyDescent="0.2">
      <c r="A132" s="23">
        <f t="shared" si="5"/>
        <v>5</v>
      </c>
      <c r="B132" s="19" t="s">
        <v>131</v>
      </c>
      <c r="C132" s="24">
        <v>8</v>
      </c>
      <c r="D132" s="16" t="s">
        <v>6</v>
      </c>
      <c r="E132" s="25"/>
      <c r="F132" s="16" t="s">
        <v>26</v>
      </c>
      <c r="G132" s="31"/>
      <c r="H132" s="31"/>
      <c r="I132" s="32" t="s">
        <v>5</v>
      </c>
      <c r="J132" s="31"/>
      <c r="K132" s="31"/>
      <c r="L132" s="28" t="s">
        <v>9</v>
      </c>
      <c r="M132" s="31"/>
      <c r="N132" s="31"/>
      <c r="O132" s="16" t="s">
        <v>9</v>
      </c>
      <c r="P132" s="17">
        <v>3500000</v>
      </c>
      <c r="Q132" s="34">
        <v>5800000</v>
      </c>
    </row>
    <row r="133" spans="1:18" x14ac:dyDescent="0.2">
      <c r="A133" s="23">
        <f t="shared" si="5"/>
        <v>6</v>
      </c>
      <c r="B133" s="19" t="s">
        <v>132</v>
      </c>
      <c r="C133" s="24">
        <v>8</v>
      </c>
      <c r="D133" s="25"/>
      <c r="E133" s="25"/>
      <c r="F133" s="16" t="s">
        <v>24</v>
      </c>
      <c r="G133" s="25"/>
      <c r="H133" s="25"/>
      <c r="I133" s="16" t="s">
        <v>0</v>
      </c>
      <c r="J133" s="25"/>
      <c r="K133" s="25"/>
      <c r="L133" s="16" t="s">
        <v>6</v>
      </c>
      <c r="M133" s="25"/>
      <c r="N133" s="25"/>
      <c r="O133" s="16" t="s">
        <v>215</v>
      </c>
      <c r="P133" s="17">
        <v>3500000</v>
      </c>
      <c r="Q133" s="34">
        <v>5800000</v>
      </c>
    </row>
    <row r="134" spans="1:18" x14ac:dyDescent="0.2">
      <c r="A134" s="23">
        <f t="shared" si="5"/>
        <v>7</v>
      </c>
      <c r="B134" s="19" t="s">
        <v>133</v>
      </c>
      <c r="C134" s="24">
        <v>8</v>
      </c>
      <c r="D134" s="16" t="s">
        <v>6</v>
      </c>
      <c r="E134" s="25"/>
      <c r="F134" s="25"/>
      <c r="G134" s="16" t="s">
        <v>7</v>
      </c>
      <c r="H134" s="25"/>
      <c r="I134" s="25"/>
      <c r="J134" s="16" t="s">
        <v>6</v>
      </c>
      <c r="K134" s="25"/>
      <c r="L134" s="25"/>
      <c r="M134" s="16" t="s">
        <v>3</v>
      </c>
      <c r="N134" s="25"/>
      <c r="O134" s="25"/>
      <c r="P134" s="17">
        <v>3500000</v>
      </c>
      <c r="Q134" s="34">
        <v>5800000</v>
      </c>
    </row>
    <row r="135" spans="1:18" x14ac:dyDescent="0.2">
      <c r="A135" s="23">
        <f t="shared" si="5"/>
        <v>8</v>
      </c>
      <c r="B135" s="19" t="s">
        <v>134</v>
      </c>
      <c r="C135" s="24">
        <v>8</v>
      </c>
      <c r="D135" s="25"/>
      <c r="E135" s="16" t="s">
        <v>24</v>
      </c>
      <c r="F135" s="25"/>
      <c r="G135" s="26"/>
      <c r="H135" s="16" t="s">
        <v>4</v>
      </c>
      <c r="I135" s="25"/>
      <c r="J135" s="25"/>
      <c r="K135" s="16" t="s">
        <v>26</v>
      </c>
      <c r="L135" s="25"/>
      <c r="M135" s="25"/>
      <c r="N135" s="16" t="s">
        <v>5</v>
      </c>
      <c r="O135" s="25"/>
      <c r="P135" s="17">
        <v>3500000</v>
      </c>
      <c r="Q135" s="34">
        <v>5800000</v>
      </c>
    </row>
    <row r="136" spans="1:18" x14ac:dyDescent="0.2">
      <c r="A136" s="23">
        <f t="shared" ref="A136:A140" si="6">A135+1</f>
        <v>9</v>
      </c>
      <c r="B136" s="19" t="s">
        <v>135</v>
      </c>
      <c r="C136" s="24">
        <v>8</v>
      </c>
      <c r="D136" s="16" t="s">
        <v>6</v>
      </c>
      <c r="E136" s="25"/>
      <c r="F136" s="25"/>
      <c r="G136" s="16" t="s">
        <v>8</v>
      </c>
      <c r="H136" s="25"/>
      <c r="I136" s="25"/>
      <c r="J136" s="16" t="s">
        <v>9</v>
      </c>
      <c r="K136" s="25"/>
      <c r="L136" s="25"/>
      <c r="M136" s="16" t="s">
        <v>4</v>
      </c>
      <c r="N136" s="25"/>
      <c r="O136" s="25"/>
      <c r="P136" s="17">
        <v>3500000</v>
      </c>
      <c r="Q136" s="34">
        <v>5800000</v>
      </c>
    </row>
    <row r="137" spans="1:18" x14ac:dyDescent="0.2">
      <c r="A137" s="23">
        <f t="shared" si="6"/>
        <v>10</v>
      </c>
      <c r="B137" s="19" t="s">
        <v>136</v>
      </c>
      <c r="C137" s="24">
        <v>8</v>
      </c>
      <c r="D137" s="16" t="s">
        <v>4</v>
      </c>
      <c r="E137" s="25"/>
      <c r="F137" s="25"/>
      <c r="G137" s="16" t="s">
        <v>8</v>
      </c>
      <c r="H137" s="25"/>
      <c r="I137" s="25"/>
      <c r="J137" s="16" t="s">
        <v>9</v>
      </c>
      <c r="K137" s="25"/>
      <c r="L137" s="25"/>
      <c r="M137" s="16" t="s">
        <v>6</v>
      </c>
      <c r="N137" s="25"/>
      <c r="O137" s="25"/>
      <c r="P137" s="17">
        <v>3500000</v>
      </c>
      <c r="Q137" s="34">
        <v>5800000</v>
      </c>
    </row>
    <row r="138" spans="1:18" x14ac:dyDescent="0.2">
      <c r="A138" s="23">
        <f t="shared" si="6"/>
        <v>11</v>
      </c>
      <c r="B138" s="19" t="s">
        <v>137</v>
      </c>
      <c r="C138" s="24">
        <v>8</v>
      </c>
      <c r="D138" s="25"/>
      <c r="E138" s="16" t="s">
        <v>24</v>
      </c>
      <c r="F138" s="25"/>
      <c r="G138" s="26"/>
      <c r="H138" s="16" t="s">
        <v>26</v>
      </c>
      <c r="I138" s="25"/>
      <c r="J138" s="16" t="s">
        <v>6</v>
      </c>
      <c r="K138" s="25"/>
      <c r="L138" s="25"/>
      <c r="M138" s="16" t="s">
        <v>4</v>
      </c>
      <c r="N138" s="25"/>
      <c r="O138" s="25"/>
      <c r="P138" s="17">
        <v>3500000</v>
      </c>
      <c r="Q138" s="34">
        <v>5800000</v>
      </c>
    </row>
    <row r="139" spans="1:18" x14ac:dyDescent="0.2">
      <c r="A139" s="23">
        <f t="shared" si="6"/>
        <v>12</v>
      </c>
      <c r="B139" s="19" t="s">
        <v>138</v>
      </c>
      <c r="C139" s="24">
        <v>8</v>
      </c>
      <c r="D139" s="16" t="s">
        <v>6</v>
      </c>
      <c r="E139" s="25"/>
      <c r="F139" s="16" t="s">
        <v>26</v>
      </c>
      <c r="G139" s="31"/>
      <c r="H139" s="31"/>
      <c r="I139" s="32" t="s">
        <v>5</v>
      </c>
      <c r="J139" s="31"/>
      <c r="K139" s="31"/>
      <c r="L139" s="28" t="s">
        <v>9</v>
      </c>
      <c r="M139" s="31"/>
      <c r="N139" s="31"/>
      <c r="O139" s="16" t="s">
        <v>9</v>
      </c>
      <c r="P139" s="17">
        <v>3500000</v>
      </c>
      <c r="Q139" s="34">
        <v>5800000</v>
      </c>
    </row>
    <row r="140" spans="1:18" x14ac:dyDescent="0.2">
      <c r="A140" s="23">
        <f t="shared" si="6"/>
        <v>13</v>
      </c>
      <c r="B140" s="19" t="s">
        <v>139</v>
      </c>
      <c r="C140" s="24">
        <v>8</v>
      </c>
      <c r="D140" s="25"/>
      <c r="E140" s="25"/>
      <c r="F140" s="16" t="s">
        <v>24</v>
      </c>
      <c r="G140" s="25"/>
      <c r="H140" s="25"/>
      <c r="I140" s="16" t="s">
        <v>0</v>
      </c>
      <c r="J140" s="25"/>
      <c r="K140" s="25"/>
      <c r="L140" s="16" t="s">
        <v>6</v>
      </c>
      <c r="M140" s="25"/>
      <c r="N140" s="25"/>
      <c r="O140" s="16" t="s">
        <v>215</v>
      </c>
      <c r="P140" s="17">
        <v>3500000</v>
      </c>
      <c r="Q140" s="34">
        <v>5800000</v>
      </c>
    </row>
    <row r="141" spans="1:18" x14ac:dyDescent="0.2">
      <c r="A141" s="12"/>
      <c r="B141" s="53" t="s">
        <v>140</v>
      </c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5"/>
    </row>
    <row r="142" spans="1:18" s="5" customFormat="1" x14ac:dyDescent="0.2">
      <c r="A142" s="13">
        <f>A141+1</f>
        <v>1</v>
      </c>
      <c r="B142" s="19" t="s">
        <v>141</v>
      </c>
      <c r="C142" s="24">
        <v>8</v>
      </c>
      <c r="D142" s="16" t="s">
        <v>8</v>
      </c>
      <c r="E142" s="16" t="s">
        <v>5</v>
      </c>
      <c r="F142" s="25"/>
      <c r="G142" s="25"/>
      <c r="H142" s="16" t="s">
        <v>201</v>
      </c>
      <c r="I142" s="25"/>
      <c r="J142" s="25"/>
      <c r="K142" s="16" t="s">
        <v>26</v>
      </c>
      <c r="L142" s="25"/>
      <c r="M142" s="25"/>
      <c r="N142" s="25"/>
      <c r="O142" s="16" t="s">
        <v>9</v>
      </c>
      <c r="P142" s="17">
        <v>3500000</v>
      </c>
      <c r="Q142" s="34">
        <v>5800000</v>
      </c>
      <c r="R142" s="4"/>
    </row>
    <row r="143" spans="1:18" s="5" customFormat="1" x14ac:dyDescent="0.2">
      <c r="A143" s="13">
        <f>A142+1</f>
        <v>2</v>
      </c>
      <c r="B143" s="19" t="s">
        <v>142</v>
      </c>
      <c r="C143" s="24">
        <v>8</v>
      </c>
      <c r="D143" s="16" t="s">
        <v>6</v>
      </c>
      <c r="E143" s="25"/>
      <c r="F143" s="16" t="s">
        <v>24</v>
      </c>
      <c r="G143" s="25"/>
      <c r="H143" s="25"/>
      <c r="I143" s="25"/>
      <c r="J143" s="16" t="s">
        <v>8</v>
      </c>
      <c r="K143" s="25"/>
      <c r="L143" s="28" t="s">
        <v>0</v>
      </c>
      <c r="M143" s="31"/>
      <c r="N143" s="31"/>
      <c r="O143" s="16" t="s">
        <v>215</v>
      </c>
      <c r="P143" s="17">
        <v>3500000</v>
      </c>
      <c r="Q143" s="34">
        <v>5800000</v>
      </c>
      <c r="R143" s="4"/>
    </row>
    <row r="144" spans="1:18" s="5" customFormat="1" x14ac:dyDescent="0.2">
      <c r="A144" s="13">
        <f>A143+1</f>
        <v>3</v>
      </c>
      <c r="B144" s="19" t="s">
        <v>143</v>
      </c>
      <c r="C144" s="24">
        <v>8</v>
      </c>
      <c r="D144" s="25"/>
      <c r="E144" s="25"/>
      <c r="F144" s="16" t="s">
        <v>24</v>
      </c>
      <c r="G144" s="25"/>
      <c r="H144" s="25"/>
      <c r="I144" s="16" t="s">
        <v>0</v>
      </c>
      <c r="J144" s="25"/>
      <c r="K144" s="25"/>
      <c r="L144" s="16" t="s">
        <v>6</v>
      </c>
      <c r="M144" s="16" t="s">
        <v>4</v>
      </c>
      <c r="N144" s="25"/>
      <c r="O144" s="25"/>
      <c r="P144" s="17">
        <v>3500000</v>
      </c>
      <c r="Q144" s="34">
        <v>5800000</v>
      </c>
      <c r="R144" s="4"/>
    </row>
    <row r="145" spans="1:17" x14ac:dyDescent="0.2">
      <c r="A145" s="13">
        <f>A144+1</f>
        <v>4</v>
      </c>
      <c r="B145" s="35" t="s">
        <v>223</v>
      </c>
      <c r="C145" s="24">
        <v>8</v>
      </c>
      <c r="D145" s="25"/>
      <c r="E145" s="25"/>
      <c r="F145" s="25"/>
      <c r="G145" s="16" t="s">
        <v>7</v>
      </c>
      <c r="H145" s="25"/>
      <c r="I145" s="25"/>
      <c r="J145" s="16" t="s">
        <v>6</v>
      </c>
      <c r="K145" s="25"/>
      <c r="L145" s="25"/>
      <c r="M145" s="16" t="s">
        <v>4</v>
      </c>
      <c r="N145" s="25"/>
      <c r="O145" s="25"/>
      <c r="P145" s="17">
        <v>3500000</v>
      </c>
      <c r="Q145" s="34">
        <v>5800000</v>
      </c>
    </row>
    <row r="146" spans="1:17" x14ac:dyDescent="0.2">
      <c r="A146" s="13">
        <f>A145+1</f>
        <v>5</v>
      </c>
      <c r="B146" s="19" t="s">
        <v>144</v>
      </c>
      <c r="C146" s="24">
        <v>8</v>
      </c>
      <c r="D146" s="25"/>
      <c r="E146" s="16" t="s">
        <v>24</v>
      </c>
      <c r="F146" s="25"/>
      <c r="G146" s="26"/>
      <c r="H146" s="16" t="s">
        <v>4</v>
      </c>
      <c r="I146" s="25"/>
      <c r="J146" s="25"/>
      <c r="K146" s="16" t="s">
        <v>26</v>
      </c>
      <c r="L146" s="25"/>
      <c r="M146" s="25"/>
      <c r="N146" s="25"/>
      <c r="O146" s="16" t="s">
        <v>9</v>
      </c>
      <c r="P146" s="17">
        <v>3500000</v>
      </c>
      <c r="Q146" s="34">
        <v>5800000</v>
      </c>
    </row>
    <row r="147" spans="1:17" x14ac:dyDescent="0.2">
      <c r="A147" s="13">
        <f t="shared" ref="A147:A161" si="7">A146+1</f>
        <v>6</v>
      </c>
      <c r="B147" s="19" t="s">
        <v>145</v>
      </c>
      <c r="C147" s="24">
        <v>8</v>
      </c>
      <c r="D147" s="16" t="s">
        <v>4</v>
      </c>
      <c r="E147" s="25"/>
      <c r="F147" s="16" t="s">
        <v>26</v>
      </c>
      <c r="G147" s="25"/>
      <c r="H147" s="25"/>
      <c r="I147" s="16" t="s">
        <v>15</v>
      </c>
      <c r="J147" s="25"/>
      <c r="K147" s="25"/>
      <c r="L147" s="16" t="s">
        <v>215</v>
      </c>
      <c r="M147" s="25"/>
      <c r="N147" s="25"/>
      <c r="O147" s="16" t="s">
        <v>215</v>
      </c>
      <c r="P147" s="17">
        <v>3500000</v>
      </c>
      <c r="Q147" s="34">
        <v>5800000</v>
      </c>
    </row>
    <row r="148" spans="1:17" x14ac:dyDescent="0.2">
      <c r="A148" s="13">
        <f t="shared" si="7"/>
        <v>7</v>
      </c>
      <c r="B148" s="19" t="s">
        <v>146</v>
      </c>
      <c r="C148" s="24">
        <v>8</v>
      </c>
      <c r="D148" s="16" t="s">
        <v>6</v>
      </c>
      <c r="E148" s="25"/>
      <c r="F148" s="16" t="s">
        <v>26</v>
      </c>
      <c r="G148" s="31"/>
      <c r="H148" s="31"/>
      <c r="I148" s="32" t="s">
        <v>5</v>
      </c>
      <c r="J148" s="31"/>
      <c r="K148" s="31"/>
      <c r="L148" s="28" t="s">
        <v>9</v>
      </c>
      <c r="M148" s="31"/>
      <c r="N148" s="31"/>
      <c r="O148" s="16" t="s">
        <v>9</v>
      </c>
      <c r="P148" s="17">
        <v>3500000</v>
      </c>
      <c r="Q148" s="34">
        <v>5800000</v>
      </c>
    </row>
    <row r="149" spans="1:17" x14ac:dyDescent="0.2">
      <c r="A149" s="13">
        <f t="shared" si="7"/>
        <v>8</v>
      </c>
      <c r="B149" s="19" t="s">
        <v>147</v>
      </c>
      <c r="C149" s="24">
        <v>8</v>
      </c>
      <c r="D149" s="25"/>
      <c r="E149" s="25"/>
      <c r="F149" s="16" t="s">
        <v>24</v>
      </c>
      <c r="G149" s="25"/>
      <c r="H149" s="25"/>
      <c r="I149" s="16" t="s">
        <v>0</v>
      </c>
      <c r="J149" s="25"/>
      <c r="K149" s="25"/>
      <c r="L149" s="16" t="s">
        <v>6</v>
      </c>
      <c r="M149" s="25"/>
      <c r="N149" s="25"/>
      <c r="O149" s="16" t="s">
        <v>215</v>
      </c>
      <c r="P149" s="17">
        <v>3500000</v>
      </c>
      <c r="Q149" s="34">
        <v>5800000</v>
      </c>
    </row>
    <row r="150" spans="1:17" x14ac:dyDescent="0.2">
      <c r="A150" s="13">
        <f t="shared" si="7"/>
        <v>9</v>
      </c>
      <c r="B150" s="19" t="s">
        <v>148</v>
      </c>
      <c r="C150" s="24">
        <v>8</v>
      </c>
      <c r="D150" s="16" t="s">
        <v>6</v>
      </c>
      <c r="E150" s="25"/>
      <c r="F150" s="25"/>
      <c r="G150" s="16" t="s">
        <v>7</v>
      </c>
      <c r="H150" s="25"/>
      <c r="I150" s="25"/>
      <c r="J150" s="16" t="s">
        <v>6</v>
      </c>
      <c r="K150" s="25"/>
      <c r="L150" s="25"/>
      <c r="M150" s="16" t="s">
        <v>3</v>
      </c>
      <c r="N150" s="25"/>
      <c r="O150" s="25"/>
      <c r="P150" s="17">
        <v>3500000</v>
      </c>
      <c r="Q150" s="34">
        <v>5800000</v>
      </c>
    </row>
    <row r="151" spans="1:17" x14ac:dyDescent="0.2">
      <c r="A151" s="13">
        <f t="shared" si="7"/>
        <v>10</v>
      </c>
      <c r="B151" s="19" t="s">
        <v>149</v>
      </c>
      <c r="C151" s="24">
        <v>8</v>
      </c>
      <c r="D151" s="16" t="s">
        <v>6</v>
      </c>
      <c r="E151" s="25"/>
      <c r="F151" s="25"/>
      <c r="G151" s="16" t="s">
        <v>6</v>
      </c>
      <c r="H151" s="25"/>
      <c r="I151" s="25"/>
      <c r="J151" s="16" t="s">
        <v>6</v>
      </c>
      <c r="K151" s="25"/>
      <c r="L151" s="25"/>
      <c r="M151" s="25"/>
      <c r="N151" s="25"/>
      <c r="O151" s="16" t="s">
        <v>215</v>
      </c>
      <c r="P151" s="17">
        <v>3500000</v>
      </c>
      <c r="Q151" s="34">
        <v>5800000</v>
      </c>
    </row>
    <row r="152" spans="1:17" x14ac:dyDescent="0.2">
      <c r="A152" s="13">
        <f t="shared" si="7"/>
        <v>11</v>
      </c>
      <c r="B152" s="19" t="s">
        <v>150</v>
      </c>
      <c r="C152" s="24">
        <v>8</v>
      </c>
      <c r="D152" s="25"/>
      <c r="E152" s="25"/>
      <c r="F152" s="16" t="s">
        <v>5</v>
      </c>
      <c r="G152" s="25"/>
      <c r="H152" s="25"/>
      <c r="I152" s="25"/>
      <c r="J152" s="16" t="s">
        <v>6</v>
      </c>
      <c r="K152" s="25"/>
      <c r="L152" s="25"/>
      <c r="M152" s="16" t="s">
        <v>4</v>
      </c>
      <c r="N152" s="25"/>
      <c r="O152" s="25"/>
      <c r="P152" s="17">
        <v>3500000</v>
      </c>
      <c r="Q152" s="34">
        <v>5800000</v>
      </c>
    </row>
    <row r="153" spans="1:17" x14ac:dyDescent="0.2">
      <c r="A153" s="13">
        <f t="shared" si="7"/>
        <v>12</v>
      </c>
      <c r="B153" s="19" t="s">
        <v>151</v>
      </c>
      <c r="C153" s="24">
        <v>8</v>
      </c>
      <c r="D153" s="16" t="s">
        <v>6</v>
      </c>
      <c r="E153" s="25"/>
      <c r="F153" s="16" t="s">
        <v>0</v>
      </c>
      <c r="G153" s="25"/>
      <c r="H153" s="25"/>
      <c r="I153" s="16" t="s">
        <v>0</v>
      </c>
      <c r="J153" s="25"/>
      <c r="K153" s="25"/>
      <c r="L153" s="28" t="s">
        <v>9</v>
      </c>
      <c r="M153" s="25"/>
      <c r="N153" s="25"/>
      <c r="O153" s="16" t="s">
        <v>9</v>
      </c>
      <c r="P153" s="17">
        <v>3500000</v>
      </c>
      <c r="Q153" s="34">
        <v>5800000</v>
      </c>
    </row>
    <row r="154" spans="1:17" x14ac:dyDescent="0.2">
      <c r="A154" s="13">
        <f t="shared" si="7"/>
        <v>13</v>
      </c>
      <c r="B154" s="19" t="s">
        <v>152</v>
      </c>
      <c r="C154" s="24">
        <v>8</v>
      </c>
      <c r="D154" s="16" t="s">
        <v>4</v>
      </c>
      <c r="E154" s="25"/>
      <c r="F154" s="16" t="s">
        <v>26</v>
      </c>
      <c r="G154" s="25"/>
      <c r="H154" s="25"/>
      <c r="I154" s="16" t="s">
        <v>15</v>
      </c>
      <c r="J154" s="25"/>
      <c r="K154" s="25"/>
      <c r="L154" s="16" t="s">
        <v>215</v>
      </c>
      <c r="M154" s="25"/>
      <c r="N154" s="25"/>
      <c r="O154" s="16" t="s">
        <v>215</v>
      </c>
      <c r="P154" s="17">
        <v>3500000</v>
      </c>
      <c r="Q154" s="34">
        <v>5800000</v>
      </c>
    </row>
    <row r="155" spans="1:17" x14ac:dyDescent="0.2">
      <c r="A155" s="13">
        <f t="shared" si="7"/>
        <v>14</v>
      </c>
      <c r="B155" s="14" t="s">
        <v>13</v>
      </c>
      <c r="C155" s="33">
        <v>4</v>
      </c>
      <c r="D155" s="29" t="s">
        <v>48</v>
      </c>
      <c r="E155" s="25"/>
      <c r="F155" s="29" t="s">
        <v>218</v>
      </c>
      <c r="G155" s="25"/>
      <c r="H155" s="29" t="s">
        <v>27</v>
      </c>
      <c r="I155" s="25"/>
      <c r="J155" s="29" t="s">
        <v>50</v>
      </c>
      <c r="K155" s="25"/>
      <c r="L155" s="29" t="s">
        <v>50</v>
      </c>
      <c r="M155" s="25"/>
      <c r="N155" s="29" t="s">
        <v>49</v>
      </c>
      <c r="O155" s="25"/>
      <c r="P155" s="36">
        <v>1400000</v>
      </c>
      <c r="Q155" s="34">
        <v>2900000</v>
      </c>
    </row>
    <row r="156" spans="1:17" x14ac:dyDescent="0.2">
      <c r="A156" s="13">
        <f t="shared" si="7"/>
        <v>15</v>
      </c>
      <c r="B156" s="14" t="s">
        <v>224</v>
      </c>
      <c r="C156" s="33">
        <v>8</v>
      </c>
      <c r="D156" s="25"/>
      <c r="E156" s="16" t="s">
        <v>24</v>
      </c>
      <c r="F156" s="25"/>
      <c r="G156" s="26"/>
      <c r="H156" s="16" t="s">
        <v>4</v>
      </c>
      <c r="I156" s="25"/>
      <c r="J156" s="25"/>
      <c r="K156" s="16" t="s">
        <v>26</v>
      </c>
      <c r="L156" s="25"/>
      <c r="M156" s="25"/>
      <c r="N156" s="16" t="s">
        <v>5</v>
      </c>
      <c r="O156" s="25"/>
      <c r="P156" s="17">
        <v>3500000</v>
      </c>
      <c r="Q156" s="34">
        <v>5800000</v>
      </c>
    </row>
    <row r="157" spans="1:17" x14ac:dyDescent="0.2">
      <c r="A157" s="13">
        <f t="shared" si="7"/>
        <v>16</v>
      </c>
      <c r="B157" s="19" t="s">
        <v>153</v>
      </c>
      <c r="C157" s="24">
        <v>8</v>
      </c>
      <c r="D157" s="25"/>
      <c r="E157" s="16" t="s">
        <v>0</v>
      </c>
      <c r="F157" s="25"/>
      <c r="G157" s="25"/>
      <c r="H157" s="16" t="s">
        <v>26</v>
      </c>
      <c r="I157" s="25"/>
      <c r="J157" s="25"/>
      <c r="K157" s="16" t="s">
        <v>26</v>
      </c>
      <c r="L157" s="25"/>
      <c r="M157" s="16" t="s">
        <v>4</v>
      </c>
      <c r="N157" s="25"/>
      <c r="O157" s="25"/>
      <c r="P157" s="17">
        <v>3500000</v>
      </c>
      <c r="Q157" s="34">
        <v>5800000</v>
      </c>
    </row>
    <row r="158" spans="1:17" x14ac:dyDescent="0.2">
      <c r="A158" s="13">
        <f t="shared" si="7"/>
        <v>17</v>
      </c>
      <c r="B158" s="14" t="s">
        <v>225</v>
      </c>
      <c r="C158" s="33">
        <v>4</v>
      </c>
      <c r="D158" s="25"/>
      <c r="E158" s="29" t="s">
        <v>48</v>
      </c>
      <c r="F158" s="25"/>
      <c r="G158" s="29" t="s">
        <v>50</v>
      </c>
      <c r="H158" s="25"/>
      <c r="I158" s="29" t="s">
        <v>173</v>
      </c>
      <c r="J158" s="25"/>
      <c r="K158" s="29" t="s">
        <v>48</v>
      </c>
      <c r="L158" s="16"/>
      <c r="M158" s="29" t="s">
        <v>47</v>
      </c>
      <c r="N158" s="16"/>
      <c r="O158" s="29" t="s">
        <v>50</v>
      </c>
      <c r="P158" s="30">
        <v>2100000</v>
      </c>
      <c r="Q158" s="34">
        <v>2900000</v>
      </c>
    </row>
    <row r="159" spans="1:17" x14ac:dyDescent="0.2">
      <c r="A159" s="13">
        <f t="shared" si="7"/>
        <v>18</v>
      </c>
      <c r="B159" s="19" t="s">
        <v>154</v>
      </c>
      <c r="C159" s="24">
        <v>8</v>
      </c>
      <c r="D159" s="16" t="s">
        <v>6</v>
      </c>
      <c r="E159" s="25"/>
      <c r="F159" s="16" t="s">
        <v>24</v>
      </c>
      <c r="G159" s="25"/>
      <c r="H159" s="25"/>
      <c r="I159" s="25"/>
      <c r="J159" s="16" t="s">
        <v>8</v>
      </c>
      <c r="K159" s="25"/>
      <c r="L159" s="28" t="s">
        <v>0</v>
      </c>
      <c r="M159" s="31"/>
      <c r="N159" s="31"/>
      <c r="O159" s="16" t="s">
        <v>215</v>
      </c>
      <c r="P159" s="17">
        <v>3500000</v>
      </c>
      <c r="Q159" s="34">
        <v>5800000</v>
      </c>
    </row>
    <row r="160" spans="1:17" x14ac:dyDescent="0.2">
      <c r="A160" s="13">
        <f t="shared" si="7"/>
        <v>19</v>
      </c>
      <c r="B160" s="19" t="s">
        <v>155</v>
      </c>
      <c r="C160" s="24">
        <v>8</v>
      </c>
      <c r="D160" s="25"/>
      <c r="E160" s="16" t="s">
        <v>24</v>
      </c>
      <c r="F160" s="25"/>
      <c r="G160" s="26"/>
      <c r="H160" s="16" t="s">
        <v>4</v>
      </c>
      <c r="I160" s="25"/>
      <c r="J160" s="25"/>
      <c r="K160" s="16" t="s">
        <v>26</v>
      </c>
      <c r="L160" s="25"/>
      <c r="M160" s="25"/>
      <c r="N160" s="25"/>
      <c r="O160" s="16" t="s">
        <v>9</v>
      </c>
      <c r="P160" s="17">
        <v>3500000</v>
      </c>
      <c r="Q160" s="34">
        <v>5800000</v>
      </c>
    </row>
    <row r="161" spans="1:18" x14ac:dyDescent="0.2">
      <c r="A161" s="13">
        <f t="shared" si="7"/>
        <v>20</v>
      </c>
      <c r="B161" s="19" t="s">
        <v>156</v>
      </c>
      <c r="C161" s="24">
        <v>8</v>
      </c>
      <c r="D161" s="25"/>
      <c r="E161" s="25"/>
      <c r="F161" s="16" t="s">
        <v>5</v>
      </c>
      <c r="G161" s="25"/>
      <c r="H161" s="25"/>
      <c r="I161" s="25"/>
      <c r="J161" s="16" t="s">
        <v>6</v>
      </c>
      <c r="K161" s="25"/>
      <c r="L161" s="25"/>
      <c r="M161" s="16" t="s">
        <v>4</v>
      </c>
      <c r="N161" s="25"/>
      <c r="O161" s="25"/>
      <c r="P161" s="17">
        <v>3500000</v>
      </c>
      <c r="Q161" s="34">
        <v>5800000</v>
      </c>
    </row>
    <row r="162" spans="1:18" x14ac:dyDescent="0.2">
      <c r="A162" s="12"/>
      <c r="B162" s="53" t="s">
        <v>157</v>
      </c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5"/>
    </row>
    <row r="163" spans="1:18" s="5" customFormat="1" x14ac:dyDescent="0.2">
      <c r="A163" s="13">
        <f>A162+1</f>
        <v>1</v>
      </c>
      <c r="B163" s="19" t="s">
        <v>158</v>
      </c>
      <c r="C163" s="24">
        <v>8</v>
      </c>
      <c r="D163" s="16" t="s">
        <v>8</v>
      </c>
      <c r="E163" s="16" t="s">
        <v>5</v>
      </c>
      <c r="F163" s="25"/>
      <c r="G163" s="25"/>
      <c r="H163" s="16" t="s">
        <v>201</v>
      </c>
      <c r="I163" s="25"/>
      <c r="J163" s="25"/>
      <c r="K163" s="16" t="s">
        <v>26</v>
      </c>
      <c r="L163" s="25"/>
      <c r="M163" s="25"/>
      <c r="N163" s="25"/>
      <c r="O163" s="16" t="s">
        <v>9</v>
      </c>
      <c r="P163" s="17">
        <v>3500000</v>
      </c>
      <c r="Q163" s="34">
        <v>5800000</v>
      </c>
      <c r="R163" s="4"/>
    </row>
    <row r="164" spans="1:18" s="5" customFormat="1" x14ac:dyDescent="0.2">
      <c r="A164" s="13">
        <f>A163+1</f>
        <v>2</v>
      </c>
      <c r="B164" s="19" t="s">
        <v>159</v>
      </c>
      <c r="C164" s="24">
        <v>8</v>
      </c>
      <c r="D164" s="16" t="s">
        <v>6</v>
      </c>
      <c r="E164" s="25"/>
      <c r="F164" s="16" t="s">
        <v>24</v>
      </c>
      <c r="G164" s="25"/>
      <c r="H164" s="25"/>
      <c r="I164" s="25"/>
      <c r="J164" s="16" t="s">
        <v>8</v>
      </c>
      <c r="K164" s="25"/>
      <c r="L164" s="28" t="s">
        <v>0</v>
      </c>
      <c r="M164" s="31"/>
      <c r="N164" s="31"/>
      <c r="O164" s="16" t="s">
        <v>215</v>
      </c>
      <c r="P164" s="17">
        <v>3500000</v>
      </c>
      <c r="Q164" s="34">
        <v>5800000</v>
      </c>
      <c r="R164" s="4"/>
    </row>
    <row r="165" spans="1:18" s="5" customFormat="1" x14ac:dyDescent="0.2">
      <c r="A165" s="13">
        <f>A164+1</f>
        <v>3</v>
      </c>
      <c r="B165" s="19" t="s">
        <v>29</v>
      </c>
      <c r="C165" s="24">
        <v>8</v>
      </c>
      <c r="D165" s="25"/>
      <c r="E165" s="25"/>
      <c r="F165" s="16" t="s">
        <v>24</v>
      </c>
      <c r="G165" s="25"/>
      <c r="H165" s="25"/>
      <c r="I165" s="16" t="s">
        <v>0</v>
      </c>
      <c r="J165" s="25"/>
      <c r="K165" s="25"/>
      <c r="L165" s="16" t="s">
        <v>6</v>
      </c>
      <c r="M165" s="16" t="s">
        <v>4</v>
      </c>
      <c r="N165" s="25"/>
      <c r="O165" s="25"/>
      <c r="P165" s="17">
        <v>3500000</v>
      </c>
      <c r="Q165" s="34">
        <v>5800000</v>
      </c>
      <c r="R165" s="4"/>
    </row>
    <row r="166" spans="1:18" s="5" customFormat="1" x14ac:dyDescent="0.2">
      <c r="A166" s="13">
        <f t="shared" ref="A166:A193" si="8">A165+1</f>
        <v>4</v>
      </c>
      <c r="B166" s="14" t="s">
        <v>14</v>
      </c>
      <c r="C166" s="33">
        <v>4</v>
      </c>
      <c r="D166" s="29" t="s">
        <v>48</v>
      </c>
      <c r="E166" s="25"/>
      <c r="F166" s="29" t="s">
        <v>218</v>
      </c>
      <c r="G166" s="25"/>
      <c r="H166" s="29" t="s">
        <v>27</v>
      </c>
      <c r="I166" s="25"/>
      <c r="J166" s="29" t="s">
        <v>50</v>
      </c>
      <c r="K166" s="25"/>
      <c r="L166" s="29" t="s">
        <v>50</v>
      </c>
      <c r="M166" s="25"/>
      <c r="N166" s="29" t="s">
        <v>49</v>
      </c>
      <c r="O166" s="25"/>
      <c r="P166" s="30">
        <v>2100000</v>
      </c>
      <c r="Q166" s="34">
        <v>2900000</v>
      </c>
      <c r="R166" s="4"/>
    </row>
    <row r="167" spans="1:18" s="5" customFormat="1" x14ac:dyDescent="0.2">
      <c r="A167" s="13">
        <f t="shared" si="8"/>
        <v>5</v>
      </c>
      <c r="B167" s="19" t="s">
        <v>30</v>
      </c>
      <c r="C167" s="24">
        <v>8</v>
      </c>
      <c r="D167" s="25"/>
      <c r="E167" s="25"/>
      <c r="F167" s="25"/>
      <c r="G167" s="16" t="s">
        <v>7</v>
      </c>
      <c r="H167" s="25"/>
      <c r="I167" s="25"/>
      <c r="J167" s="16" t="s">
        <v>6</v>
      </c>
      <c r="K167" s="25"/>
      <c r="L167" s="25"/>
      <c r="M167" s="16" t="s">
        <v>4</v>
      </c>
      <c r="N167" s="25"/>
      <c r="O167" s="25"/>
      <c r="P167" s="17">
        <v>3500000</v>
      </c>
      <c r="Q167" s="34">
        <v>5800000</v>
      </c>
      <c r="R167" s="4"/>
    </row>
    <row r="168" spans="1:18" x14ac:dyDescent="0.2">
      <c r="A168" s="13">
        <f t="shared" si="8"/>
        <v>6</v>
      </c>
      <c r="B168" s="14" t="s">
        <v>226</v>
      </c>
      <c r="C168" s="33">
        <v>8</v>
      </c>
      <c r="D168" s="16" t="s">
        <v>4</v>
      </c>
      <c r="E168" s="25"/>
      <c r="F168" s="16" t="s">
        <v>26</v>
      </c>
      <c r="G168" s="25"/>
      <c r="H168" s="25"/>
      <c r="I168" s="16" t="s">
        <v>15</v>
      </c>
      <c r="J168" s="25"/>
      <c r="K168" s="25"/>
      <c r="L168" s="16" t="s">
        <v>215</v>
      </c>
      <c r="M168" s="25"/>
      <c r="N168" s="25"/>
      <c r="O168" s="16" t="s">
        <v>215</v>
      </c>
      <c r="P168" s="17">
        <v>3500000</v>
      </c>
      <c r="Q168" s="34">
        <v>5800000</v>
      </c>
    </row>
    <row r="169" spans="1:18" x14ac:dyDescent="0.2">
      <c r="A169" s="13">
        <f t="shared" si="8"/>
        <v>7</v>
      </c>
      <c r="B169" s="14" t="s">
        <v>227</v>
      </c>
      <c r="C169" s="33">
        <v>8</v>
      </c>
      <c r="D169" s="16" t="s">
        <v>6</v>
      </c>
      <c r="E169" s="25"/>
      <c r="F169" s="16" t="s">
        <v>26</v>
      </c>
      <c r="G169" s="31"/>
      <c r="H169" s="31"/>
      <c r="I169" s="32" t="s">
        <v>5</v>
      </c>
      <c r="J169" s="31"/>
      <c r="K169" s="31"/>
      <c r="L169" s="28" t="s">
        <v>9</v>
      </c>
      <c r="M169" s="31"/>
      <c r="N169" s="31"/>
      <c r="O169" s="16" t="s">
        <v>9</v>
      </c>
      <c r="P169" s="17">
        <v>3500000</v>
      </c>
      <c r="Q169" s="34">
        <v>5800000</v>
      </c>
    </row>
    <row r="170" spans="1:18" x14ac:dyDescent="0.2">
      <c r="A170" s="13">
        <f t="shared" si="8"/>
        <v>8</v>
      </c>
      <c r="B170" s="19" t="s">
        <v>43</v>
      </c>
      <c r="C170" s="24">
        <v>8</v>
      </c>
      <c r="D170" s="16" t="s">
        <v>4</v>
      </c>
      <c r="E170" s="16" t="s">
        <v>0</v>
      </c>
      <c r="F170" s="25"/>
      <c r="G170" s="25"/>
      <c r="H170" s="16" t="s">
        <v>26</v>
      </c>
      <c r="I170" s="25"/>
      <c r="J170" s="25"/>
      <c r="K170" s="16" t="s">
        <v>26</v>
      </c>
      <c r="L170" s="25"/>
      <c r="M170" s="16" t="s">
        <v>4</v>
      </c>
      <c r="N170" s="25"/>
      <c r="O170" s="25"/>
      <c r="P170" s="17">
        <v>3500000</v>
      </c>
      <c r="Q170" s="34">
        <v>5800000</v>
      </c>
    </row>
    <row r="171" spans="1:18" x14ac:dyDescent="0.2">
      <c r="A171" s="13">
        <f t="shared" si="8"/>
        <v>9</v>
      </c>
      <c r="B171" s="19" t="s">
        <v>31</v>
      </c>
      <c r="C171" s="24">
        <v>8</v>
      </c>
      <c r="D171" s="25"/>
      <c r="E171" s="25"/>
      <c r="F171" s="25"/>
      <c r="G171" s="16" t="s">
        <v>8</v>
      </c>
      <c r="H171" s="25"/>
      <c r="I171" s="25"/>
      <c r="J171" s="16" t="s">
        <v>9</v>
      </c>
      <c r="K171" s="25"/>
      <c r="L171" s="25"/>
      <c r="M171" s="25"/>
      <c r="N171" s="25"/>
      <c r="O171" s="16" t="s">
        <v>9</v>
      </c>
      <c r="P171" s="17">
        <v>3500000</v>
      </c>
      <c r="Q171" s="34">
        <v>5800000</v>
      </c>
    </row>
    <row r="172" spans="1:18" x14ac:dyDescent="0.2">
      <c r="A172" s="13">
        <f t="shared" si="8"/>
        <v>10</v>
      </c>
      <c r="B172" s="14" t="s">
        <v>228</v>
      </c>
      <c r="C172" s="33">
        <v>8</v>
      </c>
      <c r="D172" s="25"/>
      <c r="E172" s="25"/>
      <c r="F172" s="16" t="s">
        <v>24</v>
      </c>
      <c r="G172" s="25"/>
      <c r="H172" s="25"/>
      <c r="I172" s="16" t="s">
        <v>0</v>
      </c>
      <c r="J172" s="25"/>
      <c r="K172" s="25"/>
      <c r="L172" s="16" t="s">
        <v>6</v>
      </c>
      <c r="M172" s="16" t="s">
        <v>4</v>
      </c>
      <c r="N172" s="25"/>
      <c r="O172" s="25"/>
      <c r="P172" s="17">
        <v>3500000</v>
      </c>
      <c r="Q172" s="34">
        <v>5800000</v>
      </c>
    </row>
    <row r="173" spans="1:18" x14ac:dyDescent="0.2">
      <c r="A173" s="13">
        <f t="shared" si="8"/>
        <v>11</v>
      </c>
      <c r="B173" s="19" t="s">
        <v>32</v>
      </c>
      <c r="C173" s="24">
        <v>8</v>
      </c>
      <c r="D173" s="25"/>
      <c r="E173" s="25"/>
      <c r="F173" s="16" t="s">
        <v>5</v>
      </c>
      <c r="G173" s="25"/>
      <c r="H173" s="25"/>
      <c r="I173" s="16" t="s">
        <v>5</v>
      </c>
      <c r="J173" s="25"/>
      <c r="K173" s="25"/>
      <c r="L173" s="16" t="s">
        <v>9</v>
      </c>
      <c r="M173" s="16" t="s">
        <v>4</v>
      </c>
      <c r="N173" s="25"/>
      <c r="O173" s="25"/>
      <c r="P173" s="17">
        <v>3500000</v>
      </c>
      <c r="Q173" s="34">
        <v>5800000</v>
      </c>
    </row>
    <row r="174" spans="1:18" x14ac:dyDescent="0.2">
      <c r="A174" s="13">
        <f t="shared" si="8"/>
        <v>12</v>
      </c>
      <c r="B174" s="19" t="s">
        <v>33</v>
      </c>
      <c r="C174" s="24">
        <v>8</v>
      </c>
      <c r="D174" s="25"/>
      <c r="E174" s="25"/>
      <c r="F174" s="16" t="s">
        <v>5</v>
      </c>
      <c r="G174" s="25"/>
      <c r="H174" s="25"/>
      <c r="I174" s="16" t="s">
        <v>5</v>
      </c>
      <c r="J174" s="25"/>
      <c r="K174" s="25"/>
      <c r="L174" s="16" t="s">
        <v>9</v>
      </c>
      <c r="M174" s="25"/>
      <c r="N174" s="25"/>
      <c r="O174" s="16" t="s">
        <v>215</v>
      </c>
      <c r="P174" s="17">
        <v>3500000</v>
      </c>
      <c r="Q174" s="34">
        <v>5800000</v>
      </c>
    </row>
    <row r="175" spans="1:18" x14ac:dyDescent="0.2">
      <c r="A175" s="13">
        <f t="shared" si="8"/>
        <v>13</v>
      </c>
      <c r="B175" s="19" t="s">
        <v>160</v>
      </c>
      <c r="C175" s="24">
        <v>8</v>
      </c>
      <c r="D175" s="16" t="s">
        <v>8</v>
      </c>
      <c r="E175" s="25"/>
      <c r="F175" s="25"/>
      <c r="G175" s="16" t="s">
        <v>6</v>
      </c>
      <c r="H175" s="25"/>
      <c r="I175" s="25"/>
      <c r="J175" s="16" t="s">
        <v>6</v>
      </c>
      <c r="K175" s="25"/>
      <c r="L175" s="25"/>
      <c r="M175" s="16" t="s">
        <v>4</v>
      </c>
      <c r="N175" s="25"/>
      <c r="O175" s="25"/>
      <c r="P175" s="17">
        <v>3500000</v>
      </c>
      <c r="Q175" s="34">
        <v>5800000</v>
      </c>
    </row>
    <row r="176" spans="1:18" x14ac:dyDescent="0.2">
      <c r="A176" s="13">
        <f t="shared" si="8"/>
        <v>14</v>
      </c>
      <c r="B176" s="19" t="s">
        <v>34</v>
      </c>
      <c r="C176" s="24">
        <v>8</v>
      </c>
      <c r="D176" s="16" t="s">
        <v>6</v>
      </c>
      <c r="E176" s="25"/>
      <c r="F176" s="16" t="s">
        <v>5</v>
      </c>
      <c r="G176" s="25"/>
      <c r="H176" s="25"/>
      <c r="I176" s="25"/>
      <c r="J176" s="16" t="s">
        <v>6</v>
      </c>
      <c r="K176" s="25"/>
      <c r="L176" s="25"/>
      <c r="M176" s="25"/>
      <c r="N176" s="25"/>
      <c r="O176" s="16" t="s">
        <v>9</v>
      </c>
      <c r="P176" s="17">
        <v>3500000</v>
      </c>
      <c r="Q176" s="34">
        <v>5800000</v>
      </c>
    </row>
    <row r="177" spans="1:17" x14ac:dyDescent="0.2">
      <c r="A177" s="13">
        <f t="shared" si="8"/>
        <v>15</v>
      </c>
      <c r="B177" s="19" t="s">
        <v>35</v>
      </c>
      <c r="C177" s="24">
        <v>8</v>
      </c>
      <c r="D177" s="25"/>
      <c r="E177" s="25"/>
      <c r="F177" s="16" t="s">
        <v>0</v>
      </c>
      <c r="G177" s="25"/>
      <c r="H177" s="25"/>
      <c r="I177" s="16" t="s">
        <v>0</v>
      </c>
      <c r="J177" s="25"/>
      <c r="K177" s="25"/>
      <c r="L177" s="28" t="s">
        <v>9</v>
      </c>
      <c r="M177" s="25"/>
      <c r="N177" s="25"/>
      <c r="O177" s="16" t="s">
        <v>215</v>
      </c>
      <c r="P177" s="17">
        <v>3500000</v>
      </c>
      <c r="Q177" s="34">
        <v>5800000</v>
      </c>
    </row>
    <row r="178" spans="1:17" x14ac:dyDescent="0.2">
      <c r="A178" s="13">
        <f t="shared" si="8"/>
        <v>16</v>
      </c>
      <c r="B178" s="19" t="s">
        <v>161</v>
      </c>
      <c r="C178" s="24">
        <v>8</v>
      </c>
      <c r="D178" s="25"/>
      <c r="E178" s="25"/>
      <c r="F178" s="16" t="s">
        <v>26</v>
      </c>
      <c r="G178" s="25"/>
      <c r="H178" s="25"/>
      <c r="I178" s="16" t="s">
        <v>15</v>
      </c>
      <c r="J178" s="25"/>
      <c r="K178" s="25"/>
      <c r="L178" s="16" t="s">
        <v>215</v>
      </c>
      <c r="M178" s="25"/>
      <c r="N178" s="25"/>
      <c r="O178" s="16" t="s">
        <v>9</v>
      </c>
      <c r="P178" s="17">
        <v>3500000</v>
      </c>
      <c r="Q178" s="34">
        <v>5800000</v>
      </c>
    </row>
    <row r="179" spans="1:17" x14ac:dyDescent="0.2">
      <c r="A179" s="13">
        <f t="shared" si="8"/>
        <v>17</v>
      </c>
      <c r="B179" s="19" t="s">
        <v>162</v>
      </c>
      <c r="C179" s="24">
        <v>8</v>
      </c>
      <c r="D179" s="25"/>
      <c r="E179" s="25"/>
      <c r="F179" s="25"/>
      <c r="G179" s="16" t="s">
        <v>6</v>
      </c>
      <c r="H179" s="25"/>
      <c r="I179" s="25"/>
      <c r="J179" s="25"/>
      <c r="K179" s="16" t="s">
        <v>26</v>
      </c>
      <c r="L179" s="25"/>
      <c r="M179" s="25"/>
      <c r="N179" s="16" t="s">
        <v>15</v>
      </c>
      <c r="O179" s="25"/>
      <c r="P179" s="17">
        <v>3500000</v>
      </c>
      <c r="Q179" s="34">
        <v>5800000</v>
      </c>
    </row>
    <row r="180" spans="1:17" x14ac:dyDescent="0.2">
      <c r="A180" s="13">
        <f t="shared" si="8"/>
        <v>18</v>
      </c>
      <c r="B180" s="19" t="s">
        <v>36</v>
      </c>
      <c r="C180" s="24">
        <v>8</v>
      </c>
      <c r="D180" s="16" t="s">
        <v>4</v>
      </c>
      <c r="E180" s="25"/>
      <c r="F180" s="25"/>
      <c r="G180" s="16" t="s">
        <v>8</v>
      </c>
      <c r="H180" s="25"/>
      <c r="I180" s="25"/>
      <c r="J180" s="16" t="s">
        <v>8</v>
      </c>
      <c r="K180" s="25"/>
      <c r="L180" s="25"/>
      <c r="M180" s="16" t="s">
        <v>3</v>
      </c>
      <c r="N180" s="25"/>
      <c r="O180" s="25"/>
      <c r="P180" s="17">
        <v>3500000</v>
      </c>
      <c r="Q180" s="34">
        <v>5800000</v>
      </c>
    </row>
    <row r="181" spans="1:17" x14ac:dyDescent="0.2">
      <c r="A181" s="13">
        <f t="shared" si="8"/>
        <v>19</v>
      </c>
      <c r="B181" s="19" t="s">
        <v>163</v>
      </c>
      <c r="C181" s="24">
        <v>8</v>
      </c>
      <c r="D181" s="25"/>
      <c r="E181" s="16" t="s">
        <v>0</v>
      </c>
      <c r="F181" s="25"/>
      <c r="G181" s="26"/>
      <c r="H181" s="16" t="s">
        <v>26</v>
      </c>
      <c r="I181" s="25"/>
      <c r="J181" s="25"/>
      <c r="K181" s="16" t="s">
        <v>24</v>
      </c>
      <c r="L181" s="25"/>
      <c r="M181" s="25"/>
      <c r="N181" s="16" t="s">
        <v>24</v>
      </c>
      <c r="O181" s="25"/>
      <c r="P181" s="17">
        <v>3500000</v>
      </c>
      <c r="Q181" s="34">
        <v>5800000</v>
      </c>
    </row>
    <row r="182" spans="1:17" x14ac:dyDescent="0.2">
      <c r="A182" s="13">
        <f t="shared" si="8"/>
        <v>20</v>
      </c>
      <c r="B182" s="19" t="s">
        <v>37</v>
      </c>
      <c r="C182" s="24">
        <v>8</v>
      </c>
      <c r="D182" s="25"/>
      <c r="E182" s="16" t="s">
        <v>5</v>
      </c>
      <c r="F182" s="25"/>
      <c r="G182" s="25"/>
      <c r="H182" s="16" t="s">
        <v>10</v>
      </c>
      <c r="I182" s="25"/>
      <c r="J182" s="25"/>
      <c r="K182" s="16" t="s">
        <v>5</v>
      </c>
      <c r="L182" s="25"/>
      <c r="M182" s="25"/>
      <c r="N182" s="16" t="s">
        <v>24</v>
      </c>
      <c r="O182" s="25"/>
      <c r="P182" s="17">
        <v>3500000</v>
      </c>
      <c r="Q182" s="34">
        <v>5800000</v>
      </c>
    </row>
    <row r="183" spans="1:17" x14ac:dyDescent="0.2">
      <c r="A183" s="13">
        <f t="shared" si="8"/>
        <v>21</v>
      </c>
      <c r="B183" s="19" t="s">
        <v>38</v>
      </c>
      <c r="C183" s="24">
        <v>8</v>
      </c>
      <c r="D183" s="16" t="s">
        <v>6</v>
      </c>
      <c r="E183" s="25"/>
      <c r="F183" s="25"/>
      <c r="G183" s="16" t="s">
        <v>8</v>
      </c>
      <c r="H183" s="25"/>
      <c r="I183" s="25"/>
      <c r="J183" s="16" t="s">
        <v>6</v>
      </c>
      <c r="K183" s="25"/>
      <c r="L183" s="25"/>
      <c r="M183" s="16" t="s">
        <v>26</v>
      </c>
      <c r="N183" s="25"/>
      <c r="O183" s="25"/>
      <c r="P183" s="17">
        <v>3500000</v>
      </c>
      <c r="Q183" s="34">
        <v>5800000</v>
      </c>
    </row>
    <row r="184" spans="1:17" x14ac:dyDescent="0.2">
      <c r="A184" s="13">
        <f t="shared" si="8"/>
        <v>22</v>
      </c>
      <c r="B184" s="14" t="s">
        <v>229</v>
      </c>
      <c r="C184" s="33">
        <v>8</v>
      </c>
      <c r="D184" s="25"/>
      <c r="E184" s="16" t="s">
        <v>24</v>
      </c>
      <c r="F184" s="25"/>
      <c r="G184" s="26"/>
      <c r="H184" s="16" t="s">
        <v>4</v>
      </c>
      <c r="I184" s="25"/>
      <c r="J184" s="25"/>
      <c r="K184" s="16" t="s">
        <v>26</v>
      </c>
      <c r="L184" s="25"/>
      <c r="M184" s="25"/>
      <c r="N184" s="25"/>
      <c r="O184" s="16" t="s">
        <v>9</v>
      </c>
      <c r="P184" s="17">
        <v>3500000</v>
      </c>
      <c r="Q184" s="34">
        <v>5800000</v>
      </c>
    </row>
    <row r="185" spans="1:17" x14ac:dyDescent="0.2">
      <c r="A185" s="13">
        <f t="shared" si="8"/>
        <v>23</v>
      </c>
      <c r="B185" s="19" t="s">
        <v>39</v>
      </c>
      <c r="C185" s="24">
        <v>8</v>
      </c>
      <c r="D185" s="25"/>
      <c r="E185" s="16" t="s">
        <v>24</v>
      </c>
      <c r="F185" s="25"/>
      <c r="G185" s="26"/>
      <c r="H185" s="16" t="s">
        <v>26</v>
      </c>
      <c r="I185" s="25"/>
      <c r="J185" s="16" t="s">
        <v>6</v>
      </c>
      <c r="K185" s="25"/>
      <c r="L185" s="25"/>
      <c r="M185" s="16" t="s">
        <v>4</v>
      </c>
      <c r="N185" s="25"/>
      <c r="O185" s="25"/>
      <c r="P185" s="17">
        <v>3500000</v>
      </c>
      <c r="Q185" s="34">
        <v>5800000</v>
      </c>
    </row>
    <row r="186" spans="1:17" x14ac:dyDescent="0.2">
      <c r="A186" s="13">
        <f t="shared" si="8"/>
        <v>24</v>
      </c>
      <c r="B186" s="19" t="s">
        <v>40</v>
      </c>
      <c r="C186" s="24">
        <v>8</v>
      </c>
      <c r="D186" s="16" t="s">
        <v>6</v>
      </c>
      <c r="E186" s="25"/>
      <c r="F186" s="16" t="s">
        <v>26</v>
      </c>
      <c r="G186" s="31"/>
      <c r="H186" s="31"/>
      <c r="I186" s="32" t="s">
        <v>5</v>
      </c>
      <c r="J186" s="31"/>
      <c r="K186" s="31"/>
      <c r="L186" s="28" t="s">
        <v>9</v>
      </c>
      <c r="M186" s="31"/>
      <c r="N186" s="31"/>
      <c r="O186" s="16" t="s">
        <v>9</v>
      </c>
      <c r="P186" s="17">
        <v>3500000</v>
      </c>
      <c r="Q186" s="34">
        <v>5800000</v>
      </c>
    </row>
    <row r="187" spans="1:17" x14ac:dyDescent="0.2">
      <c r="A187" s="13">
        <f t="shared" si="8"/>
        <v>25</v>
      </c>
      <c r="B187" s="19" t="s">
        <v>164</v>
      </c>
      <c r="C187" s="24">
        <v>8</v>
      </c>
      <c r="D187" s="25"/>
      <c r="E187" s="25"/>
      <c r="F187" s="16" t="s">
        <v>24</v>
      </c>
      <c r="G187" s="25"/>
      <c r="H187" s="25"/>
      <c r="I187" s="16" t="s">
        <v>0</v>
      </c>
      <c r="J187" s="25"/>
      <c r="K187" s="25"/>
      <c r="L187" s="16" t="s">
        <v>6</v>
      </c>
      <c r="M187" s="25"/>
      <c r="N187" s="25"/>
      <c r="O187" s="16" t="s">
        <v>215</v>
      </c>
      <c r="P187" s="17">
        <v>3500000</v>
      </c>
      <c r="Q187" s="34">
        <v>5800000</v>
      </c>
    </row>
    <row r="188" spans="1:17" x14ac:dyDescent="0.2">
      <c r="A188" s="13">
        <f t="shared" si="8"/>
        <v>26</v>
      </c>
      <c r="B188" s="19" t="s">
        <v>165</v>
      </c>
      <c r="C188" s="24">
        <v>8</v>
      </c>
      <c r="D188" s="16" t="s">
        <v>6</v>
      </c>
      <c r="E188" s="25"/>
      <c r="F188" s="25"/>
      <c r="G188" s="16" t="s">
        <v>7</v>
      </c>
      <c r="H188" s="25"/>
      <c r="I188" s="25"/>
      <c r="J188" s="16" t="s">
        <v>6</v>
      </c>
      <c r="K188" s="25"/>
      <c r="L188" s="25"/>
      <c r="M188" s="16" t="s">
        <v>3</v>
      </c>
      <c r="N188" s="25"/>
      <c r="O188" s="25"/>
      <c r="P188" s="17">
        <v>3500000</v>
      </c>
      <c r="Q188" s="34">
        <v>5800000</v>
      </c>
    </row>
    <row r="189" spans="1:17" x14ac:dyDescent="0.2">
      <c r="A189" s="13">
        <f t="shared" si="8"/>
        <v>27</v>
      </c>
      <c r="B189" s="19" t="s">
        <v>166</v>
      </c>
      <c r="C189" s="24">
        <v>8</v>
      </c>
      <c r="D189" s="25"/>
      <c r="E189" s="16" t="s">
        <v>24</v>
      </c>
      <c r="F189" s="25"/>
      <c r="G189" s="26"/>
      <c r="H189" s="16" t="s">
        <v>4</v>
      </c>
      <c r="I189" s="25"/>
      <c r="J189" s="25"/>
      <c r="K189" s="16" t="s">
        <v>26</v>
      </c>
      <c r="L189" s="25"/>
      <c r="M189" s="25"/>
      <c r="N189" s="16" t="s">
        <v>5</v>
      </c>
      <c r="O189" s="25"/>
      <c r="P189" s="17">
        <v>3500000</v>
      </c>
      <c r="Q189" s="34">
        <v>5800000</v>
      </c>
    </row>
    <row r="190" spans="1:17" x14ac:dyDescent="0.2">
      <c r="A190" s="13">
        <f t="shared" si="8"/>
        <v>28</v>
      </c>
      <c r="B190" s="19" t="s">
        <v>41</v>
      </c>
      <c r="C190" s="24">
        <v>8</v>
      </c>
      <c r="D190" s="25"/>
      <c r="E190" s="16" t="s">
        <v>0</v>
      </c>
      <c r="F190" s="25"/>
      <c r="G190" s="25"/>
      <c r="H190" s="16" t="s">
        <v>26</v>
      </c>
      <c r="I190" s="25"/>
      <c r="J190" s="25"/>
      <c r="K190" s="16" t="s">
        <v>26</v>
      </c>
      <c r="L190" s="25"/>
      <c r="M190" s="25"/>
      <c r="N190" s="16" t="s">
        <v>5</v>
      </c>
      <c r="O190" s="25"/>
      <c r="P190" s="17">
        <v>3500000</v>
      </c>
      <c r="Q190" s="34">
        <v>5800000</v>
      </c>
    </row>
    <row r="191" spans="1:17" x14ac:dyDescent="0.2">
      <c r="A191" s="13">
        <f t="shared" si="8"/>
        <v>29</v>
      </c>
      <c r="B191" s="19" t="s">
        <v>42</v>
      </c>
      <c r="C191" s="24">
        <v>8</v>
      </c>
      <c r="D191" s="16" t="s">
        <v>6</v>
      </c>
      <c r="E191" s="25"/>
      <c r="F191" s="25"/>
      <c r="G191" s="16" t="s">
        <v>8</v>
      </c>
      <c r="H191" s="25"/>
      <c r="I191" s="25"/>
      <c r="J191" s="16" t="s">
        <v>9</v>
      </c>
      <c r="K191" s="25"/>
      <c r="L191" s="25"/>
      <c r="M191" s="16" t="s">
        <v>4</v>
      </c>
      <c r="N191" s="25"/>
      <c r="O191" s="25"/>
      <c r="P191" s="17">
        <v>3500000</v>
      </c>
      <c r="Q191" s="34">
        <v>5800000</v>
      </c>
    </row>
    <row r="192" spans="1:17" x14ac:dyDescent="0.2">
      <c r="A192" s="13">
        <f t="shared" si="8"/>
        <v>30</v>
      </c>
      <c r="B192" s="19" t="s">
        <v>167</v>
      </c>
      <c r="C192" s="24">
        <v>8</v>
      </c>
      <c r="D192" s="25"/>
      <c r="E192" s="25"/>
      <c r="F192" s="16" t="s">
        <v>5</v>
      </c>
      <c r="G192" s="25"/>
      <c r="H192" s="25"/>
      <c r="I192" s="16" t="s">
        <v>5</v>
      </c>
      <c r="J192" s="25"/>
      <c r="K192" s="25"/>
      <c r="L192" s="16" t="s">
        <v>9</v>
      </c>
      <c r="M192" s="25"/>
      <c r="N192" s="25"/>
      <c r="O192" s="16" t="s">
        <v>215</v>
      </c>
      <c r="P192" s="17">
        <v>3500000</v>
      </c>
      <c r="Q192" s="34">
        <v>5800000</v>
      </c>
    </row>
    <row r="193" spans="1:18" x14ac:dyDescent="0.2">
      <c r="A193" s="13">
        <f t="shared" si="8"/>
        <v>31</v>
      </c>
      <c r="B193" s="19" t="s">
        <v>196</v>
      </c>
      <c r="C193" s="24">
        <v>8</v>
      </c>
      <c r="D193" s="25"/>
      <c r="E193" s="25"/>
      <c r="F193" s="16" t="s">
        <v>26</v>
      </c>
      <c r="G193" s="25"/>
      <c r="H193" s="25"/>
      <c r="I193" s="16" t="s">
        <v>15</v>
      </c>
      <c r="J193" s="25"/>
      <c r="K193" s="25"/>
      <c r="L193" s="16" t="s">
        <v>215</v>
      </c>
      <c r="M193" s="25"/>
      <c r="N193" s="25"/>
      <c r="O193" s="16" t="s">
        <v>9</v>
      </c>
      <c r="P193" s="17">
        <v>3500000</v>
      </c>
      <c r="Q193" s="34">
        <v>5800000</v>
      </c>
    </row>
    <row r="194" spans="1:18" x14ac:dyDescent="0.2">
      <c r="A194" s="37"/>
      <c r="B194" s="56" t="s">
        <v>252</v>
      </c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5"/>
      <c r="R194" s="4"/>
    </row>
    <row r="195" spans="1:18" s="5" customFormat="1" x14ac:dyDescent="0.2">
      <c r="A195" s="13">
        <v>1</v>
      </c>
      <c r="B195" s="14" t="s">
        <v>230</v>
      </c>
      <c r="C195" s="33">
        <v>8</v>
      </c>
      <c r="D195" s="16" t="s">
        <v>8</v>
      </c>
      <c r="E195" s="25"/>
      <c r="F195" s="25"/>
      <c r="G195" s="16" t="s">
        <v>6</v>
      </c>
      <c r="H195" s="25"/>
      <c r="I195" s="25"/>
      <c r="J195" s="16" t="s">
        <v>6</v>
      </c>
      <c r="K195" s="25"/>
      <c r="L195" s="25"/>
      <c r="M195" s="16" t="s">
        <v>4</v>
      </c>
      <c r="N195" s="25"/>
      <c r="O195" s="25"/>
      <c r="P195" s="17">
        <v>3500000</v>
      </c>
      <c r="Q195" s="34">
        <v>5800000</v>
      </c>
      <c r="R195" s="6"/>
    </row>
    <row r="196" spans="1:18" s="5" customFormat="1" x14ac:dyDescent="0.2">
      <c r="A196" s="13">
        <v>2</v>
      </c>
      <c r="B196" s="14" t="s">
        <v>231</v>
      </c>
      <c r="C196" s="33">
        <v>8</v>
      </c>
      <c r="D196" s="16"/>
      <c r="E196" s="25"/>
      <c r="F196" s="16" t="s">
        <v>26</v>
      </c>
      <c r="G196" s="25"/>
      <c r="H196" s="25"/>
      <c r="I196" s="16" t="s">
        <v>15</v>
      </c>
      <c r="J196" s="25"/>
      <c r="K196" s="25"/>
      <c r="L196" s="16" t="s">
        <v>215</v>
      </c>
      <c r="M196" s="25"/>
      <c r="N196" s="25"/>
      <c r="O196" s="16" t="s">
        <v>9</v>
      </c>
      <c r="P196" s="17">
        <v>3500000</v>
      </c>
      <c r="Q196" s="34">
        <v>5800000</v>
      </c>
      <c r="R196" s="6"/>
    </row>
    <row r="197" spans="1:18" s="5" customFormat="1" x14ac:dyDescent="0.2">
      <c r="A197" s="13">
        <v>3</v>
      </c>
      <c r="B197" s="14" t="s">
        <v>232</v>
      </c>
      <c r="C197" s="33">
        <v>8</v>
      </c>
      <c r="D197" s="16"/>
      <c r="E197" s="25"/>
      <c r="F197" s="16" t="s">
        <v>26</v>
      </c>
      <c r="G197" s="25"/>
      <c r="H197" s="25"/>
      <c r="I197" s="16" t="s">
        <v>15</v>
      </c>
      <c r="J197" s="25"/>
      <c r="K197" s="25"/>
      <c r="L197" s="16" t="s">
        <v>215</v>
      </c>
      <c r="M197" s="25"/>
      <c r="N197" s="25"/>
      <c r="O197" s="16" t="s">
        <v>9</v>
      </c>
      <c r="P197" s="17">
        <v>3500000</v>
      </c>
      <c r="Q197" s="34">
        <v>5800000</v>
      </c>
      <c r="R197" s="6"/>
    </row>
    <row r="198" spans="1:18" s="5" customFormat="1" x14ac:dyDescent="0.2">
      <c r="A198" s="13">
        <v>4</v>
      </c>
      <c r="B198" s="14" t="s">
        <v>233</v>
      </c>
      <c r="C198" s="33">
        <v>8</v>
      </c>
      <c r="D198" s="25"/>
      <c r="E198" s="16" t="s">
        <v>0</v>
      </c>
      <c r="F198" s="25"/>
      <c r="G198" s="25"/>
      <c r="H198" s="16" t="s">
        <v>26</v>
      </c>
      <c r="I198" s="25"/>
      <c r="J198" s="25"/>
      <c r="K198" s="16" t="s">
        <v>26</v>
      </c>
      <c r="L198" s="25"/>
      <c r="M198" s="16" t="s">
        <v>4</v>
      </c>
      <c r="N198" s="25"/>
      <c r="O198" s="25"/>
      <c r="P198" s="17">
        <v>3500000</v>
      </c>
      <c r="Q198" s="34">
        <v>5800000</v>
      </c>
      <c r="R198" s="6"/>
    </row>
    <row r="199" spans="1:18" x14ac:dyDescent="0.2">
      <c r="A199" s="13">
        <v>5</v>
      </c>
      <c r="B199" s="19" t="s">
        <v>234</v>
      </c>
      <c r="C199" s="24">
        <v>8</v>
      </c>
      <c r="D199" s="16"/>
      <c r="E199" s="25"/>
      <c r="F199" s="25"/>
      <c r="G199" s="16" t="s">
        <v>6</v>
      </c>
      <c r="H199" s="25"/>
      <c r="I199" s="25"/>
      <c r="J199" s="16" t="s">
        <v>6</v>
      </c>
      <c r="K199" s="25"/>
      <c r="L199" s="25"/>
      <c r="M199" s="16" t="s">
        <v>4</v>
      </c>
      <c r="N199" s="25"/>
      <c r="O199" s="25"/>
      <c r="P199" s="17">
        <v>3500000</v>
      </c>
      <c r="Q199" s="34">
        <v>5800000</v>
      </c>
      <c r="R199" s="4"/>
    </row>
    <row r="200" spans="1:18" x14ac:dyDescent="0.2">
      <c r="A200" s="13">
        <v>6</v>
      </c>
      <c r="B200" s="19" t="s">
        <v>235</v>
      </c>
      <c r="C200" s="24">
        <v>8</v>
      </c>
      <c r="D200" s="16"/>
      <c r="E200" s="16" t="s">
        <v>0</v>
      </c>
      <c r="F200" s="25"/>
      <c r="G200" s="25"/>
      <c r="H200" s="16" t="s">
        <v>26</v>
      </c>
      <c r="I200" s="25"/>
      <c r="J200" s="25"/>
      <c r="K200" s="16" t="s">
        <v>26</v>
      </c>
      <c r="L200" s="25"/>
      <c r="M200" s="16" t="s">
        <v>4</v>
      </c>
      <c r="N200" s="25"/>
      <c r="O200" s="25"/>
      <c r="P200" s="17">
        <v>3500000</v>
      </c>
      <c r="Q200" s="34">
        <v>5800000</v>
      </c>
      <c r="R200" s="4"/>
    </row>
    <row r="201" spans="1:18" x14ac:dyDescent="0.2">
      <c r="A201" s="13">
        <v>7</v>
      </c>
      <c r="B201" s="19" t="s">
        <v>236</v>
      </c>
      <c r="C201" s="24">
        <v>12</v>
      </c>
      <c r="D201" s="16" t="s">
        <v>216</v>
      </c>
      <c r="E201" s="25"/>
      <c r="F201" s="25"/>
      <c r="G201" s="16" t="s">
        <v>216</v>
      </c>
      <c r="H201" s="25"/>
      <c r="I201" s="25"/>
      <c r="J201" s="16" t="s">
        <v>1</v>
      </c>
      <c r="K201" s="25"/>
      <c r="L201" s="25"/>
      <c r="M201" s="16" t="s">
        <v>216</v>
      </c>
      <c r="N201" s="25"/>
      <c r="O201" s="25"/>
      <c r="P201" s="36">
        <v>4900000</v>
      </c>
      <c r="Q201" s="34">
        <v>8700000</v>
      </c>
      <c r="R201" s="4"/>
    </row>
    <row r="202" spans="1:18" x14ac:dyDescent="0.2">
      <c r="A202" s="13">
        <v>8</v>
      </c>
      <c r="B202" s="19" t="s">
        <v>237</v>
      </c>
      <c r="C202" s="24">
        <v>8</v>
      </c>
      <c r="D202" s="16"/>
      <c r="E202" s="38" t="s">
        <v>5</v>
      </c>
      <c r="F202" s="25"/>
      <c r="G202" s="16" t="s">
        <v>7</v>
      </c>
      <c r="H202" s="25"/>
      <c r="I202" s="25"/>
      <c r="J202" s="16"/>
      <c r="K202" s="38" t="s">
        <v>4</v>
      </c>
      <c r="L202" s="25"/>
      <c r="M202" s="16"/>
      <c r="N202" s="25"/>
      <c r="O202" s="25"/>
      <c r="P202" s="17">
        <v>3500000</v>
      </c>
      <c r="Q202" s="34">
        <v>5800000</v>
      </c>
      <c r="R202" s="4"/>
    </row>
    <row r="203" spans="1:18" x14ac:dyDescent="0.2">
      <c r="A203" s="13">
        <v>9</v>
      </c>
      <c r="B203" s="19" t="s">
        <v>238</v>
      </c>
      <c r="C203" s="24">
        <v>12</v>
      </c>
      <c r="D203" s="16"/>
      <c r="E203" s="16" t="s">
        <v>239</v>
      </c>
      <c r="F203" s="25"/>
      <c r="G203" s="25"/>
      <c r="H203" s="16" t="s">
        <v>240</v>
      </c>
      <c r="I203" s="25"/>
      <c r="J203" s="25"/>
      <c r="K203" s="16" t="s">
        <v>241</v>
      </c>
      <c r="L203" s="25"/>
      <c r="M203" s="25"/>
      <c r="N203" s="25"/>
      <c r="O203" s="16" t="s">
        <v>1</v>
      </c>
      <c r="P203" s="36">
        <v>4900000</v>
      </c>
      <c r="Q203" s="34">
        <v>8700000</v>
      </c>
      <c r="R203" s="4"/>
    </row>
    <row r="204" spans="1:18" x14ac:dyDescent="0.2">
      <c r="A204" s="13">
        <v>10</v>
      </c>
      <c r="B204" s="19" t="s">
        <v>242</v>
      </c>
      <c r="C204" s="24">
        <v>8</v>
      </c>
      <c r="D204" s="16"/>
      <c r="E204" s="25"/>
      <c r="F204" s="25"/>
      <c r="G204" s="16"/>
      <c r="H204" s="16" t="s">
        <v>26</v>
      </c>
      <c r="I204" s="25"/>
      <c r="J204" s="16"/>
      <c r="K204" s="16" t="s">
        <v>26</v>
      </c>
      <c r="L204" s="25"/>
      <c r="M204" s="16"/>
      <c r="N204" s="25"/>
      <c r="O204" s="25"/>
      <c r="P204" s="17">
        <v>3500000</v>
      </c>
      <c r="Q204" s="34">
        <v>5800000</v>
      </c>
      <c r="R204" s="4"/>
    </row>
    <row r="205" spans="1:18" x14ac:dyDescent="0.2">
      <c r="A205" s="13">
        <v>11</v>
      </c>
      <c r="B205" s="19" t="s">
        <v>243</v>
      </c>
      <c r="C205" s="24">
        <v>8</v>
      </c>
      <c r="D205" s="16"/>
      <c r="E205" s="25"/>
      <c r="F205" s="16" t="s">
        <v>5</v>
      </c>
      <c r="G205" s="16"/>
      <c r="H205" s="25"/>
      <c r="I205" s="16" t="s">
        <v>5</v>
      </c>
      <c r="J205" s="16"/>
      <c r="K205" s="25"/>
      <c r="L205" s="16" t="s">
        <v>9</v>
      </c>
      <c r="M205" s="16"/>
      <c r="N205" s="25"/>
      <c r="O205" s="25"/>
      <c r="P205" s="17">
        <v>3500000</v>
      </c>
      <c r="Q205" s="34">
        <v>5800000</v>
      </c>
      <c r="R205" s="4"/>
    </row>
    <row r="206" spans="1:18" x14ac:dyDescent="0.2">
      <c r="A206" s="13">
        <v>12</v>
      </c>
      <c r="B206" s="19" t="s">
        <v>244</v>
      </c>
      <c r="C206" s="24">
        <v>8</v>
      </c>
      <c r="D206" s="16"/>
      <c r="E206" s="16" t="s">
        <v>0</v>
      </c>
      <c r="F206" s="25"/>
      <c r="G206" s="16"/>
      <c r="H206" s="25"/>
      <c r="I206" s="25"/>
      <c r="J206" s="16"/>
      <c r="K206" s="16" t="s">
        <v>26</v>
      </c>
      <c r="L206" s="25"/>
      <c r="M206" s="16"/>
      <c r="N206" s="16" t="s">
        <v>5</v>
      </c>
      <c r="O206" s="25"/>
      <c r="P206" s="17">
        <v>3500000</v>
      </c>
      <c r="Q206" s="34">
        <v>5800000</v>
      </c>
      <c r="R206" s="4"/>
    </row>
    <row r="207" spans="1:18" x14ac:dyDescent="0.2">
      <c r="A207" s="13">
        <v>13</v>
      </c>
      <c r="B207" s="19" t="s">
        <v>245</v>
      </c>
      <c r="C207" s="24">
        <v>8</v>
      </c>
      <c r="D207" s="16"/>
      <c r="E207" s="25"/>
      <c r="F207" s="16" t="s">
        <v>26</v>
      </c>
      <c r="G207" s="16"/>
      <c r="H207" s="25"/>
      <c r="I207" s="25"/>
      <c r="J207" s="16"/>
      <c r="K207" s="25"/>
      <c r="L207" s="28" t="s">
        <v>9</v>
      </c>
      <c r="M207" s="16"/>
      <c r="N207" s="25"/>
      <c r="O207" s="25"/>
      <c r="P207" s="17">
        <v>3500000</v>
      </c>
      <c r="Q207" s="34">
        <v>5800000</v>
      </c>
      <c r="R207" s="4"/>
    </row>
    <row r="208" spans="1:18" x14ac:dyDescent="0.2">
      <c r="A208" s="13">
        <v>14</v>
      </c>
      <c r="B208" s="19" t="s">
        <v>246</v>
      </c>
      <c r="C208" s="24">
        <v>8</v>
      </c>
      <c r="D208" s="16"/>
      <c r="E208" s="16" t="s">
        <v>0</v>
      </c>
      <c r="F208" s="25"/>
      <c r="G208" s="25"/>
      <c r="H208" s="16" t="s">
        <v>26</v>
      </c>
      <c r="I208" s="25"/>
      <c r="J208" s="25"/>
      <c r="K208" s="16" t="s">
        <v>26</v>
      </c>
      <c r="L208" s="25"/>
      <c r="M208" s="16" t="s">
        <v>4</v>
      </c>
      <c r="N208" s="25"/>
      <c r="O208" s="25"/>
      <c r="P208" s="17">
        <v>3500000</v>
      </c>
      <c r="Q208" s="34">
        <v>5800000</v>
      </c>
      <c r="R208" s="4"/>
    </row>
    <row r="209" spans="1:18" x14ac:dyDescent="0.2">
      <c r="A209" s="13">
        <v>15</v>
      </c>
      <c r="B209" s="19" t="s">
        <v>247</v>
      </c>
      <c r="C209" s="24">
        <v>8</v>
      </c>
      <c r="D209" s="16"/>
      <c r="E209" s="16" t="s">
        <v>24</v>
      </c>
      <c r="F209" s="25"/>
      <c r="G209" s="26"/>
      <c r="H209" s="16" t="s">
        <v>26</v>
      </c>
      <c r="I209" s="25"/>
      <c r="J209" s="16" t="s">
        <v>6</v>
      </c>
      <c r="K209" s="25"/>
      <c r="L209" s="25"/>
      <c r="M209" s="16" t="s">
        <v>4</v>
      </c>
      <c r="N209" s="25"/>
      <c r="O209" s="25"/>
      <c r="P209" s="17">
        <v>3500000</v>
      </c>
      <c r="Q209" s="34">
        <v>5800000</v>
      </c>
      <c r="R209" s="4"/>
    </row>
    <row r="210" spans="1:18" x14ac:dyDescent="0.2">
      <c r="A210" s="13">
        <v>16</v>
      </c>
      <c r="B210" s="19" t="s">
        <v>248</v>
      </c>
      <c r="C210" s="24">
        <v>12</v>
      </c>
      <c r="D210" s="16"/>
      <c r="E210" s="25"/>
      <c r="F210" s="25"/>
      <c r="G210" s="16" t="s">
        <v>216</v>
      </c>
      <c r="H210" s="25"/>
      <c r="I210" s="25"/>
      <c r="J210" s="16" t="s">
        <v>1</v>
      </c>
      <c r="K210" s="25"/>
      <c r="L210" s="25"/>
      <c r="M210" s="16" t="s">
        <v>216</v>
      </c>
      <c r="N210" s="25"/>
      <c r="O210" s="25"/>
      <c r="P210" s="36">
        <v>4900000</v>
      </c>
      <c r="Q210" s="34">
        <v>8700000</v>
      </c>
      <c r="R210" s="4"/>
    </row>
    <row r="211" spans="1:18" x14ac:dyDescent="0.2">
      <c r="A211" s="13">
        <v>17</v>
      </c>
      <c r="B211" s="19" t="s">
        <v>249</v>
      </c>
      <c r="C211" s="24">
        <v>8</v>
      </c>
      <c r="D211" s="16"/>
      <c r="E211" s="25"/>
      <c r="F211" s="25"/>
      <c r="G211" s="16" t="s">
        <v>8</v>
      </c>
      <c r="H211" s="25"/>
      <c r="I211" s="25"/>
      <c r="J211" s="16" t="s">
        <v>9</v>
      </c>
      <c r="K211" s="25"/>
      <c r="L211" s="25"/>
      <c r="M211" s="16" t="s">
        <v>4</v>
      </c>
      <c r="N211" s="25"/>
      <c r="O211" s="25"/>
      <c r="P211" s="17">
        <v>3500000</v>
      </c>
      <c r="Q211" s="34">
        <v>5800000</v>
      </c>
      <c r="R211" s="4"/>
    </row>
    <row r="212" spans="1:18" x14ac:dyDescent="0.2">
      <c r="A212" s="13">
        <v>18</v>
      </c>
      <c r="B212" s="19" t="s">
        <v>250</v>
      </c>
      <c r="C212" s="24">
        <v>8</v>
      </c>
      <c r="D212" s="25"/>
      <c r="E212" s="25"/>
      <c r="F212" s="16" t="s">
        <v>5</v>
      </c>
      <c r="G212" s="25"/>
      <c r="H212" s="25"/>
      <c r="I212" s="16" t="s">
        <v>5</v>
      </c>
      <c r="J212" s="25"/>
      <c r="K212" s="25"/>
      <c r="L212" s="16" t="s">
        <v>9</v>
      </c>
      <c r="M212" s="25"/>
      <c r="N212" s="25"/>
      <c r="O212" s="16" t="s">
        <v>215</v>
      </c>
      <c r="P212" s="17">
        <v>3500000</v>
      </c>
      <c r="Q212" s="34">
        <v>5800000</v>
      </c>
      <c r="R212" s="4"/>
    </row>
    <row r="213" spans="1:18" x14ac:dyDescent="0.2">
      <c r="A213" s="13">
        <v>19</v>
      </c>
      <c r="B213" s="19" t="s">
        <v>251</v>
      </c>
      <c r="C213" s="24">
        <v>8</v>
      </c>
      <c r="D213" s="25"/>
      <c r="E213" s="25"/>
      <c r="F213" s="16" t="s">
        <v>26</v>
      </c>
      <c r="G213" s="25"/>
      <c r="H213" s="25"/>
      <c r="I213" s="16" t="s">
        <v>15</v>
      </c>
      <c r="J213" s="25"/>
      <c r="K213" s="25"/>
      <c r="L213" s="16" t="s">
        <v>215</v>
      </c>
      <c r="M213" s="25"/>
      <c r="N213" s="25"/>
      <c r="O213" s="16" t="s">
        <v>9</v>
      </c>
      <c r="P213" s="17">
        <v>3500000</v>
      </c>
      <c r="Q213" s="34">
        <v>5800000</v>
      </c>
      <c r="R213" s="4"/>
    </row>
    <row r="214" spans="1:18" x14ac:dyDescent="0.2">
      <c r="A214" s="12"/>
      <c r="B214" s="53" t="s">
        <v>256</v>
      </c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5"/>
    </row>
    <row r="215" spans="1:18" s="5" customFormat="1" x14ac:dyDescent="0.2">
      <c r="A215" s="13">
        <v>1</v>
      </c>
      <c r="B215" s="14" t="s">
        <v>184</v>
      </c>
      <c r="C215" s="33">
        <v>8</v>
      </c>
      <c r="D215" s="16" t="s">
        <v>6</v>
      </c>
      <c r="E215" s="25"/>
      <c r="F215" s="16" t="s">
        <v>26</v>
      </c>
      <c r="G215" s="31"/>
      <c r="H215" s="31"/>
      <c r="I215" s="32" t="s">
        <v>5</v>
      </c>
      <c r="J215" s="31"/>
      <c r="K215" s="31"/>
      <c r="L215" s="28" t="s">
        <v>9</v>
      </c>
      <c r="M215" s="31"/>
      <c r="N215" s="31"/>
      <c r="O215" s="16" t="s">
        <v>9</v>
      </c>
      <c r="P215" s="17">
        <v>3500000</v>
      </c>
      <c r="Q215" s="34">
        <v>5800000</v>
      </c>
      <c r="R215" s="4"/>
    </row>
    <row r="216" spans="1:18" s="5" customFormat="1" x14ac:dyDescent="0.2">
      <c r="A216" s="13">
        <f>A215+1</f>
        <v>2</v>
      </c>
      <c r="B216" s="14" t="s">
        <v>185</v>
      </c>
      <c r="C216" s="33">
        <v>8</v>
      </c>
      <c r="D216" s="25"/>
      <c r="E216" s="29"/>
      <c r="F216" s="25"/>
      <c r="G216" s="16" t="s">
        <v>215</v>
      </c>
      <c r="H216" s="25"/>
      <c r="I216" s="29"/>
      <c r="J216" s="16" t="s">
        <v>9</v>
      </c>
      <c r="K216" s="25"/>
      <c r="L216" s="29"/>
      <c r="M216" s="25"/>
      <c r="N216" s="16" t="s">
        <v>24</v>
      </c>
      <c r="O216" s="29"/>
      <c r="P216" s="17">
        <v>3500000</v>
      </c>
      <c r="Q216" s="34">
        <v>5800000</v>
      </c>
      <c r="R216" s="4"/>
    </row>
    <row r="217" spans="1:18" s="5" customFormat="1" x14ac:dyDescent="0.2">
      <c r="A217" s="13">
        <f t="shared" ref="A217:A229" si="9">A216+1</f>
        <v>3</v>
      </c>
      <c r="B217" s="14" t="s">
        <v>186</v>
      </c>
      <c r="C217" s="33">
        <v>8</v>
      </c>
      <c r="D217" s="16"/>
      <c r="E217" s="16" t="s">
        <v>5</v>
      </c>
      <c r="F217" s="25"/>
      <c r="G217" s="25"/>
      <c r="H217" s="16" t="s">
        <v>10</v>
      </c>
      <c r="I217" s="25"/>
      <c r="J217" s="25"/>
      <c r="K217" s="16" t="s">
        <v>5</v>
      </c>
      <c r="L217" s="25"/>
      <c r="M217" s="25"/>
      <c r="N217" s="16"/>
      <c r="O217" s="16" t="s">
        <v>215</v>
      </c>
      <c r="P217" s="17">
        <v>3500000</v>
      </c>
      <c r="Q217" s="34">
        <v>5800000</v>
      </c>
      <c r="R217" s="4"/>
    </row>
    <row r="218" spans="1:18" ht="24" x14ac:dyDescent="0.2">
      <c r="A218" s="13">
        <f t="shared" si="9"/>
        <v>4</v>
      </c>
      <c r="B218" s="19" t="s">
        <v>187</v>
      </c>
      <c r="C218" s="24">
        <v>8</v>
      </c>
      <c r="D218" s="16"/>
      <c r="E218" s="25"/>
      <c r="F218" s="16" t="s">
        <v>26</v>
      </c>
      <c r="G218" s="25"/>
      <c r="H218" s="25"/>
      <c r="I218" s="16" t="s">
        <v>15</v>
      </c>
      <c r="J218" s="25"/>
      <c r="K218" s="25"/>
      <c r="L218" s="16" t="s">
        <v>215</v>
      </c>
      <c r="M218" s="25"/>
      <c r="N218" s="25"/>
      <c r="O218" s="16"/>
      <c r="P218" s="17">
        <v>3500000</v>
      </c>
      <c r="Q218" s="34">
        <v>5800000</v>
      </c>
    </row>
    <row r="219" spans="1:18" x14ac:dyDescent="0.2">
      <c r="A219" s="13">
        <f t="shared" si="9"/>
        <v>5</v>
      </c>
      <c r="B219" s="19" t="s">
        <v>188</v>
      </c>
      <c r="C219" s="24">
        <v>8</v>
      </c>
      <c r="D219" s="16" t="s">
        <v>4</v>
      </c>
      <c r="E219" s="25"/>
      <c r="F219" s="25"/>
      <c r="G219" s="16" t="s">
        <v>8</v>
      </c>
      <c r="H219" s="25"/>
      <c r="I219" s="25"/>
      <c r="J219" s="16" t="s">
        <v>8</v>
      </c>
      <c r="K219" s="25"/>
      <c r="L219" s="25"/>
      <c r="M219" s="16" t="s">
        <v>3</v>
      </c>
      <c r="N219" s="25"/>
      <c r="O219" s="25"/>
      <c r="P219" s="17">
        <v>3500000</v>
      </c>
      <c r="Q219" s="34">
        <v>5800000</v>
      </c>
    </row>
    <row r="220" spans="1:18" x14ac:dyDescent="0.2">
      <c r="A220" s="13">
        <f t="shared" si="9"/>
        <v>6</v>
      </c>
      <c r="B220" s="19" t="s">
        <v>189</v>
      </c>
      <c r="C220" s="24">
        <v>8</v>
      </c>
      <c r="D220" s="25"/>
      <c r="E220" s="16" t="s">
        <v>24</v>
      </c>
      <c r="F220" s="25"/>
      <c r="G220" s="26"/>
      <c r="H220" s="16" t="s">
        <v>4</v>
      </c>
      <c r="I220" s="25"/>
      <c r="J220" s="25"/>
      <c r="K220" s="16" t="s">
        <v>26</v>
      </c>
      <c r="L220" s="25"/>
      <c r="M220" s="25"/>
      <c r="N220" s="16" t="s">
        <v>5</v>
      </c>
      <c r="O220" s="25"/>
      <c r="P220" s="17">
        <v>3500000</v>
      </c>
      <c r="Q220" s="34">
        <v>5800000</v>
      </c>
    </row>
    <row r="221" spans="1:18" x14ac:dyDescent="0.2">
      <c r="A221" s="13">
        <f t="shared" si="9"/>
        <v>7</v>
      </c>
      <c r="B221" s="19" t="s">
        <v>190</v>
      </c>
      <c r="C221" s="24">
        <v>8</v>
      </c>
      <c r="D221" s="16"/>
      <c r="E221" s="16" t="s">
        <v>0</v>
      </c>
      <c r="F221" s="25"/>
      <c r="G221" s="25"/>
      <c r="H221" s="16"/>
      <c r="I221" s="25"/>
      <c r="J221" s="16" t="s">
        <v>9</v>
      </c>
      <c r="K221" s="16"/>
      <c r="L221" s="25"/>
      <c r="M221" s="25"/>
      <c r="N221" s="16" t="s">
        <v>5</v>
      </c>
      <c r="O221" s="25"/>
      <c r="P221" s="17">
        <v>3500000</v>
      </c>
      <c r="Q221" s="34">
        <v>5800000</v>
      </c>
    </row>
    <row r="222" spans="1:18" x14ac:dyDescent="0.2">
      <c r="A222" s="13">
        <f t="shared" si="9"/>
        <v>8</v>
      </c>
      <c r="B222" s="19" t="s">
        <v>191</v>
      </c>
      <c r="C222" s="24">
        <v>8</v>
      </c>
      <c r="D222" s="16" t="s">
        <v>8</v>
      </c>
      <c r="E222" s="25"/>
      <c r="F222" s="25"/>
      <c r="G222" s="16" t="s">
        <v>6</v>
      </c>
      <c r="H222" s="25"/>
      <c r="I222" s="25"/>
      <c r="J222" s="16" t="s">
        <v>6</v>
      </c>
      <c r="K222" s="25"/>
      <c r="L222" s="25"/>
      <c r="M222" s="16" t="s">
        <v>4</v>
      </c>
      <c r="N222" s="25"/>
      <c r="O222" s="25"/>
      <c r="P222" s="17">
        <v>3500000</v>
      </c>
      <c r="Q222" s="34">
        <v>5800000</v>
      </c>
    </row>
    <row r="223" spans="1:18" x14ac:dyDescent="0.2">
      <c r="A223" s="13">
        <f t="shared" si="9"/>
        <v>9</v>
      </c>
      <c r="B223" s="19" t="s">
        <v>253</v>
      </c>
      <c r="C223" s="24">
        <v>8</v>
      </c>
      <c r="D223" s="16"/>
      <c r="E223" s="16" t="s">
        <v>5</v>
      </c>
      <c r="F223" s="25"/>
      <c r="G223" s="25"/>
      <c r="H223" s="16" t="s">
        <v>10</v>
      </c>
      <c r="I223" s="25"/>
      <c r="J223" s="25"/>
      <c r="K223" s="16" t="s">
        <v>5</v>
      </c>
      <c r="L223" s="25"/>
      <c r="M223" s="25"/>
      <c r="N223" s="16" t="s">
        <v>24</v>
      </c>
      <c r="O223" s="16"/>
      <c r="P223" s="17">
        <v>3500000</v>
      </c>
      <c r="Q223" s="34">
        <v>5800000</v>
      </c>
    </row>
    <row r="224" spans="1:18" x14ac:dyDescent="0.2">
      <c r="A224" s="13">
        <f t="shared" si="9"/>
        <v>10</v>
      </c>
      <c r="B224" s="19" t="s">
        <v>192</v>
      </c>
      <c r="C224" s="24">
        <v>8</v>
      </c>
      <c r="D224" s="16" t="s">
        <v>8</v>
      </c>
      <c r="E224" s="25"/>
      <c r="F224" s="25"/>
      <c r="G224" s="16" t="s">
        <v>6</v>
      </c>
      <c r="H224" s="25"/>
      <c r="I224" s="25"/>
      <c r="J224" s="16" t="s">
        <v>6</v>
      </c>
      <c r="K224" s="25"/>
      <c r="L224" s="25"/>
      <c r="M224" s="16" t="s">
        <v>4</v>
      </c>
      <c r="N224" s="25"/>
      <c r="O224" s="25"/>
      <c r="P224" s="17">
        <v>3500000</v>
      </c>
      <c r="Q224" s="34">
        <v>5800000</v>
      </c>
    </row>
    <row r="225" spans="1:17" x14ac:dyDescent="0.2">
      <c r="A225" s="13">
        <f t="shared" si="9"/>
        <v>11</v>
      </c>
      <c r="B225" s="19" t="s">
        <v>254</v>
      </c>
      <c r="C225" s="24">
        <v>4</v>
      </c>
      <c r="D225" s="29" t="s">
        <v>48</v>
      </c>
      <c r="E225" s="25"/>
      <c r="F225" s="29"/>
      <c r="G225" s="25"/>
      <c r="H225" s="29" t="s">
        <v>27</v>
      </c>
      <c r="I225" s="25"/>
      <c r="J225" s="29"/>
      <c r="K225" s="25"/>
      <c r="L225" s="29"/>
      <c r="M225" s="25"/>
      <c r="N225" s="29" t="s">
        <v>49</v>
      </c>
      <c r="O225" s="25"/>
      <c r="P225" s="17">
        <v>3500000</v>
      </c>
      <c r="Q225" s="34">
        <v>5800000</v>
      </c>
    </row>
    <row r="226" spans="1:17" x14ac:dyDescent="0.2">
      <c r="A226" s="13">
        <f t="shared" si="9"/>
        <v>12</v>
      </c>
      <c r="B226" s="19" t="s">
        <v>193</v>
      </c>
      <c r="C226" s="24">
        <v>4</v>
      </c>
      <c r="D226" s="16"/>
      <c r="E226" s="29" t="s">
        <v>48</v>
      </c>
      <c r="F226" s="25"/>
      <c r="G226" s="29"/>
      <c r="H226" s="25"/>
      <c r="I226" s="29" t="s">
        <v>173</v>
      </c>
      <c r="J226" s="25"/>
      <c r="K226" s="29"/>
      <c r="L226" s="16"/>
      <c r="M226" s="29" t="s">
        <v>47</v>
      </c>
      <c r="N226" s="16"/>
      <c r="O226" s="29" t="s">
        <v>50</v>
      </c>
      <c r="P226" s="17">
        <v>3500000</v>
      </c>
      <c r="Q226" s="34">
        <v>5800000</v>
      </c>
    </row>
    <row r="227" spans="1:17" x14ac:dyDescent="0.2">
      <c r="A227" s="13">
        <f t="shared" si="9"/>
        <v>13</v>
      </c>
      <c r="B227" s="19" t="s">
        <v>255</v>
      </c>
      <c r="C227" s="24">
        <v>8</v>
      </c>
      <c r="D227" s="16" t="s">
        <v>8</v>
      </c>
      <c r="E227" s="25"/>
      <c r="F227" s="25"/>
      <c r="G227" s="16" t="s">
        <v>6</v>
      </c>
      <c r="H227" s="25"/>
      <c r="I227" s="25"/>
      <c r="J227" s="16" t="s">
        <v>6</v>
      </c>
      <c r="K227" s="25"/>
      <c r="L227" s="25"/>
      <c r="M227" s="16" t="s">
        <v>4</v>
      </c>
      <c r="N227" s="25"/>
      <c r="O227" s="25"/>
      <c r="P227" s="17">
        <v>3500000</v>
      </c>
      <c r="Q227" s="34">
        <v>5800000</v>
      </c>
    </row>
    <row r="228" spans="1:17" x14ac:dyDescent="0.2">
      <c r="A228" s="13">
        <f t="shared" si="9"/>
        <v>14</v>
      </c>
      <c r="B228" s="19" t="s">
        <v>194</v>
      </c>
      <c r="C228" s="24">
        <v>8</v>
      </c>
      <c r="D228" s="16"/>
      <c r="E228" s="16" t="s">
        <v>5</v>
      </c>
      <c r="F228" s="25"/>
      <c r="G228" s="25"/>
      <c r="H228" s="16" t="s">
        <v>10</v>
      </c>
      <c r="I228" s="25"/>
      <c r="J228" s="25"/>
      <c r="K228" s="16" t="s">
        <v>5</v>
      </c>
      <c r="L228" s="25"/>
      <c r="M228" s="25"/>
      <c r="N228" s="16" t="s">
        <v>24</v>
      </c>
      <c r="O228" s="16"/>
      <c r="P228" s="17">
        <v>3500000</v>
      </c>
      <c r="Q228" s="34">
        <v>5800000</v>
      </c>
    </row>
    <row r="229" spans="1:17" ht="9" customHeight="1" x14ac:dyDescent="0.2">
      <c r="A229" s="13">
        <f t="shared" si="9"/>
        <v>15</v>
      </c>
      <c r="B229" s="19" t="s">
        <v>183</v>
      </c>
      <c r="C229" s="24">
        <v>8</v>
      </c>
      <c r="D229" s="16" t="s">
        <v>6</v>
      </c>
      <c r="E229" s="25"/>
      <c r="F229" s="25"/>
      <c r="G229" s="16" t="s">
        <v>6</v>
      </c>
      <c r="H229" s="25"/>
      <c r="I229" s="25"/>
      <c r="J229" s="16" t="s">
        <v>6</v>
      </c>
      <c r="K229" s="25"/>
      <c r="L229" s="25"/>
      <c r="M229" s="16" t="s">
        <v>6</v>
      </c>
      <c r="N229" s="25"/>
      <c r="O229" s="25"/>
      <c r="P229" s="17">
        <v>3500000</v>
      </c>
      <c r="Q229" s="34">
        <v>5800000</v>
      </c>
    </row>
    <row r="230" spans="1:17" ht="33.75" customHeight="1" x14ac:dyDescent="0.2">
      <c r="A230" s="39" t="s">
        <v>171</v>
      </c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1"/>
    </row>
    <row r="231" spans="1:17" ht="51.95" customHeight="1" thickBot="1" x14ac:dyDescent="0.25">
      <c r="A231" s="42" t="s">
        <v>289</v>
      </c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4"/>
    </row>
  </sheetData>
  <mergeCells count="17">
    <mergeCell ref="B127:Q127"/>
    <mergeCell ref="A230:Q230"/>
    <mergeCell ref="A231:Q231"/>
    <mergeCell ref="A1:Q1"/>
    <mergeCell ref="A2:A3"/>
    <mergeCell ref="B2:B3"/>
    <mergeCell ref="C2:C3"/>
    <mergeCell ref="D2:O2"/>
    <mergeCell ref="P2:Q2"/>
    <mergeCell ref="B214:Q214"/>
    <mergeCell ref="B141:Q141"/>
    <mergeCell ref="B162:Q162"/>
    <mergeCell ref="B194:Q194"/>
    <mergeCell ref="B4:Q4"/>
    <mergeCell ref="B25:Q25"/>
    <mergeCell ref="B58:Q58"/>
    <mergeCell ref="B100:Q100"/>
  </mergeCells>
  <hyperlinks>
    <hyperlink ref="A231" r:id="rId1" display="mailto:srimknowsconsulting@gmail.com" xr:uid="{00000000-0004-0000-00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43" orientation="portrait" r:id="rId2"/>
  <ignoredErrors>
    <ignoredError sqref="E93 D155:E158 D166:N166 D225:O226" numberStoredAsText="1"/>
    <ignoredError sqref="B48:O48 B50:O50 H71:O71 H98:O98 E101:O116 E118:O126 E117:F117 F131:O140 F147:O154 K142:K146 F159:O161 K163 F168:K193 F196:K213 F215:K220 R48 M183 E9:O23 E5:O7 L8 R26 B26:O26 B51:O51 R51 B49:O49 R49 B52:C52 R52 B57:C57 R57 R50 B53:C53 R53 B54:C54 R54 B55:C55 R55 B56:C56 R56 H86:O86 F87:O87 F95:O95 F88:O91 F94:O94 E99:F99 H99:O99 F92:O92 F96:O97" twoDigitTextYear="1"/>
    <ignoredError sqref="F93:G93 H93:O93 G117:O117 F155:O158 D52:O52 D57:O57 D53:O53 D54:O54 D55:O55 D56:O56" twoDigitTextYear="1" numberStoredAsText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Kery</dc:creator>
  <cp:lastModifiedBy>Rolando Gunawan</cp:lastModifiedBy>
  <cp:lastPrinted>2025-10-15T05:38:52Z</cp:lastPrinted>
  <dcterms:created xsi:type="dcterms:W3CDTF">2022-06-16T08:51:36Z</dcterms:created>
  <dcterms:modified xsi:type="dcterms:W3CDTF">2025-10-15T05:46:22Z</dcterms:modified>
</cp:coreProperties>
</file>